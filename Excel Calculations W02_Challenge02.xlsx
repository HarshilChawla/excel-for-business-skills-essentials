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Essentials\"/>
    </mc:Choice>
  </mc:AlternateContent>
  <xr:revisionPtr revIDLastSave="0" documentId="8_{261520D8-FE8F-4C51-B51E-FA603E5FD8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tle page" sheetId="2" r:id="rId1"/>
    <sheet name="Green Fingers - Quote" sheetId="1" r:id="rId2"/>
  </sheets>
  <definedNames>
    <definedName name="ExcelMajorVersion">'Title page'!$M$18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6" i="2" l="1"/>
  <c r="M17" i="2"/>
  <c r="M18" i="2"/>
</calcChain>
</file>

<file path=xl/sharedStrings.xml><?xml version="1.0" encoding="utf-8"?>
<sst xmlns="http://schemas.openxmlformats.org/spreadsheetml/2006/main" count="28" uniqueCount="27">
  <si>
    <t>Green Fingers - Landscaping Quote</t>
  </si>
  <si>
    <t>Preparation</t>
  </si>
  <si>
    <t>New Decking</t>
  </si>
  <si>
    <t>Plants and Garden Work</t>
  </si>
  <si>
    <t xml:space="preserve">10% Discount </t>
  </si>
  <si>
    <t>Total Estimate</t>
  </si>
  <si>
    <t>Large Skip</t>
  </si>
  <si>
    <t>Labour</t>
  </si>
  <si>
    <t>Materials</t>
  </si>
  <si>
    <t>Plants</t>
  </si>
  <si>
    <t>Total Prep</t>
  </si>
  <si>
    <t>Total Decking</t>
  </si>
  <si>
    <t>Total Plants</t>
  </si>
  <si>
    <t>Estimate Sub Total</t>
  </si>
  <si>
    <t>Excel Skills for Business: Essentials</t>
  </si>
  <si>
    <t>Instructions</t>
  </si>
  <si>
    <t>Week 2: Performing Calculations</t>
  </si>
  <si>
    <t>Week 2: Learning Objectives</t>
  </si>
  <si>
    <t>Explain the syntax of basic formulas and functions
Use formulas and functions to perform simple calculations
Describe the difference between relative and absolute cell references</t>
  </si>
  <si>
    <t>Practice Challenge 2</t>
  </si>
  <si>
    <t xml:space="preserve">You have been asked to help out Greenscape Landscaping with one of their quotes. </t>
  </si>
  <si>
    <t>Can you figure out the formulas to complete their quote?</t>
  </si>
  <si>
    <t>(CELL BACKGROUND WILL CHANGE COLOUR IF FORMULA IS CORRECT)</t>
  </si>
  <si>
    <t>Excavate the lawn area and remove existing deck</t>
  </si>
  <si>
    <t>Excel version raw</t>
  </si>
  <si>
    <t>Major version</t>
  </si>
  <si>
    <t>As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</si>
</sst>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&quot;$&quot;#,##0.00"/>
  </numFmts>
  <fonts count="20">
    <font>
      <sz val="11"/>
      <color theme="1"/>
      <name val="Trebuchet MS"/>
      <family val="2"/>
      <scheme val="minor"/>
    </font>
    <font>
      <sz val="12"/>
      <color theme="1"/>
      <name val="Trebuchet MS"/>
      <family val="2"/>
      <scheme val="minor"/>
    </font>
    <font>
      <sz val="18"/>
      <color theme="3"/>
      <name val="Trebuchet MS"/>
      <family val="2"/>
      <scheme val="major"/>
    </font>
    <font>
      <b/>
      <sz val="11"/>
      <color theme="1"/>
      <name val="Trebuchet MS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Trebuchet MS"/>
      <family val="2"/>
      <scheme val="minor"/>
    </font>
    <font>
      <sz val="28"/>
      <color theme="1"/>
      <name val="Arial"/>
      <family val="2"/>
    </font>
    <font>
      <sz val="24"/>
      <color theme="1"/>
      <name val="Arial"/>
      <family val="2"/>
    </font>
    <font>
      <b/>
      <sz val="18"/>
      <color theme="3"/>
      <name val="Trebuchet MS"/>
      <family val="2"/>
      <scheme val="maj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5"/>
      <color theme="3"/>
      <name val="National Book"/>
      <family val="3"/>
    </font>
    <font>
      <b/>
      <sz val="14"/>
      <color theme="1"/>
      <name val="Arial"/>
      <family val="2"/>
    </font>
    <font>
      <sz val="11"/>
      <color theme="1"/>
      <name val="Newzald Book"/>
      <family val="3"/>
    </font>
    <font>
      <sz val="16"/>
      <color theme="1"/>
      <name val="Newzald Book"/>
      <family val="3"/>
    </font>
    <font>
      <sz val="20"/>
      <color theme="1"/>
      <name val="National Book"/>
      <family val="3"/>
    </font>
    <font>
      <b/>
      <i/>
      <sz val="24"/>
      <color theme="1"/>
      <name val="Calibri Light"/>
      <family val="2"/>
    </font>
    <font>
      <sz val="12"/>
      <color theme="1"/>
      <name val="Arial"/>
      <family val="2"/>
    </font>
    <font>
      <sz val="11"/>
      <color theme="0"/>
      <name val="Trebuchet M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ck">
        <color theme="1"/>
      </top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4" fillId="0" borderId="0"/>
    <xf numFmtId="0" fontId="5" fillId="0" borderId="0"/>
    <xf numFmtId="0" fontId="6" fillId="2" borderId="0" applyNumberFormat="0" applyBorder="0" applyAlignment="0" applyProtection="0"/>
    <xf numFmtId="0" fontId="6" fillId="0" borderId="0"/>
    <xf numFmtId="0" fontId="9" fillId="0" borderId="0" applyNumberFormat="0" applyFill="0" applyBorder="0" applyAlignment="0" applyProtection="0"/>
    <xf numFmtId="0" fontId="1" fillId="0" borderId="0"/>
    <xf numFmtId="0" fontId="12" fillId="0" borderId="2" applyNumberFormat="0" applyFill="0" applyAlignment="0" applyProtection="0"/>
    <xf numFmtId="0" fontId="14" fillId="0" borderId="0">
      <alignment vertical="top" wrapText="1"/>
    </xf>
    <xf numFmtId="164" fontId="6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/>
    <xf numFmtId="165" fontId="0" fillId="0" borderId="0" xfId="0" applyNumberFormat="1"/>
    <xf numFmtId="0" fontId="2" fillId="0" borderId="0" xfId="1"/>
    <xf numFmtId="0" fontId="0" fillId="0" borderId="1" xfId="0" applyBorder="1"/>
    <xf numFmtId="0" fontId="3" fillId="0" borderId="1" xfId="0" applyFont="1" applyBorder="1"/>
    <xf numFmtId="0" fontId="6" fillId="3" borderId="0" xfId="4" applyFill="1"/>
    <xf numFmtId="165" fontId="0" fillId="0" borderId="1" xfId="0" applyNumberFormat="1" applyBorder="1"/>
    <xf numFmtId="165" fontId="6" fillId="3" borderId="0" xfId="4" applyNumberFormat="1" applyFill="1"/>
    <xf numFmtId="0" fontId="6" fillId="0" borderId="0" xfId="5"/>
    <xf numFmtId="0" fontId="6" fillId="0" borderId="3" xfId="5" applyBorder="1"/>
    <xf numFmtId="0" fontId="1" fillId="0" borderId="0" xfId="7"/>
    <xf numFmtId="0" fontId="10" fillId="0" borderId="0" xfId="5" applyFont="1"/>
    <xf numFmtId="0" fontId="11" fillId="0" borderId="0" xfId="5" applyFont="1"/>
    <xf numFmtId="0" fontId="13" fillId="0" borderId="0" xfId="8" applyFont="1" applyBorder="1"/>
    <xf numFmtId="0" fontId="10" fillId="0" borderId="7" xfId="5" applyFont="1" applyBorder="1"/>
    <xf numFmtId="0" fontId="10" fillId="0" borderId="0" xfId="9" applyFont="1">
      <alignment vertical="top" wrapText="1"/>
    </xf>
    <xf numFmtId="0" fontId="19" fillId="0" borderId="0" xfId="0" applyFont="1"/>
    <xf numFmtId="0" fontId="7" fillId="0" borderId="3" xfId="5" applyFont="1" applyBorder="1" applyAlignment="1">
      <alignment horizontal="center"/>
    </xf>
    <xf numFmtId="0" fontId="7" fillId="0" borderId="0" xfId="5" applyFont="1" applyAlignment="1">
      <alignment horizontal="center"/>
    </xf>
    <xf numFmtId="0" fontId="8" fillId="0" borderId="3" xfId="5" applyFont="1" applyBorder="1" applyAlignment="1">
      <alignment horizontal="center"/>
    </xf>
    <xf numFmtId="0" fontId="8" fillId="0" borderId="0" xfId="5" applyFont="1" applyAlignment="1">
      <alignment horizontal="center"/>
    </xf>
    <xf numFmtId="0" fontId="17" fillId="3" borderId="4" xfId="6" applyFont="1" applyFill="1" applyBorder="1" applyAlignment="1">
      <alignment horizontal="center"/>
    </xf>
    <xf numFmtId="0" fontId="17" fillId="3" borderId="5" xfId="6" applyFont="1" applyFill="1" applyBorder="1" applyAlignment="1">
      <alignment horizontal="center"/>
    </xf>
    <xf numFmtId="0" fontId="17" fillId="3" borderId="6" xfId="6" applyFont="1" applyFill="1" applyBorder="1" applyAlignment="1">
      <alignment horizontal="center"/>
    </xf>
    <xf numFmtId="0" fontId="18" fillId="0" borderId="0" xfId="9" applyFont="1" applyAlignment="1">
      <alignment horizontal="left" vertical="top" wrapText="1"/>
    </xf>
  </cellXfs>
  <cellStyles count="13">
    <cellStyle name="20% - Accent1" xfId="4" builtinId="30"/>
    <cellStyle name="Comma 2" xfId="10" xr:uid="{00000000-0005-0000-0000-000001000000}"/>
    <cellStyle name="MQ Body" xfId="9" xr:uid="{00000000-0005-0000-0000-000002000000}"/>
    <cellStyle name="MQ Heading 1" xfId="8" xr:uid="{00000000-0005-0000-0000-000003000000}"/>
    <cellStyle name="MQ Subtitle" xfId="11" xr:uid="{00000000-0005-0000-0000-000004000000}"/>
    <cellStyle name="MQ Title" xfId="12" xr:uid="{00000000-0005-0000-0000-000005000000}"/>
    <cellStyle name="Normal" xfId="0" builtinId="0"/>
    <cellStyle name="Normal 2" xfId="2" xr:uid="{00000000-0005-0000-0000-000007000000}"/>
    <cellStyle name="Normal 2 2" xfId="5" xr:uid="{00000000-0005-0000-0000-000008000000}"/>
    <cellStyle name="Normal 3" xfId="3" xr:uid="{00000000-0005-0000-0000-000009000000}"/>
    <cellStyle name="Normal 4" xfId="7" xr:uid="{00000000-0005-0000-0000-00000A000000}"/>
    <cellStyle name="Title" xfId="1" builtinId="15"/>
    <cellStyle name="Title 2" xfId="6" xr:uid="{00000000-0005-0000-0000-00000C000000}"/>
  </cellStyles>
  <dxfs count="12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0_1">
  <dgm:title val=""/>
  <dgm:desc val=""/>
  <dgm:catLst>
    <dgm:cat type="mainScheme" pri="10100"/>
  </dgm:catLst>
  <dgm:styleLbl name="node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lig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lnNode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vennNode1">
    <dgm:fillClrLst meth="repeat">
      <a:schemeClr val="lt1">
        <a:alpha val="50000"/>
      </a:schemeClr>
    </dgm:fillClrLst>
    <dgm:linClrLst meth="repeat">
      <a:schemeClr val="dk1">
        <a:shade val="80000"/>
      </a:schemeClr>
    </dgm:linClrLst>
    <dgm:effectClrLst/>
    <dgm:txLinClrLst/>
    <dgm:txFillClrLst/>
    <dgm:txEffectClrLst/>
  </dgm:styleLbl>
  <dgm:styleLbl name="node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node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f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dk1">
        <a:tint val="40000"/>
      </a:schemeClr>
    </dgm:fillClrLst>
    <dgm:linClrLst meth="repeat">
      <a:schemeClr val="dk1">
        <a:shade val="80000"/>
      </a:schemeClr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f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bgSib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 meth="repeat">
      <a:schemeClr val="dk1"/>
    </dgm:txFillClrLst>
    <dgm:txEffectClrLst/>
  </dgm:styleLbl>
  <dgm:styleLbl name="sibTrans1D1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1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2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3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asst4">
    <dgm:fillClrLst meth="repeat">
      <a:schemeClr val="lt1"/>
    </dgm:fillClrLst>
    <dgm:linClrLst meth="repeat">
      <a:schemeClr val="dk1">
        <a:shade val="80000"/>
      </a:schemeClr>
    </dgm:linClrLst>
    <dgm:effectClrLst/>
    <dgm:txLinClrLst/>
    <dgm:txFillClrLst meth="repeat">
      <a:schemeClr val="dk1"/>
    </dgm:txFillClrLst>
    <dgm:txEffectClrLst/>
  </dgm:styleLbl>
  <dgm:styleLbl name="parChTrans2D1">
    <dgm:fillClrLst meth="repeat">
      <a:schemeClr val="dk1">
        <a:tint val="60000"/>
      </a:schemeClr>
    </dgm:fillClrLst>
    <dgm:linClrLst meth="repeat">
      <a:schemeClr val="dk1">
        <a:tint val="60000"/>
      </a:schemeClr>
    </dgm:linClrLst>
    <dgm:effectClrLst/>
    <dgm:txLinClrLst/>
    <dgm:txFillClrLst/>
    <dgm:txEffectClrLst/>
  </dgm:styleLbl>
  <dgm:styleLbl name="parChTrans2D2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3">
    <dgm:fillClrLst meth="repeat">
      <a:schemeClr val="dk1"/>
    </dgm:fillClrLst>
    <dgm:linClrLst meth="repeat">
      <a:schemeClr val="dk1"/>
    </dgm:linClrLst>
    <dgm:effectClrLst/>
    <dgm:txLinClrLst/>
    <dgm:txFillClrLst/>
    <dgm:txEffectClrLst/>
  </dgm:styleLbl>
  <dgm:styleLbl name="parChTrans2D4">
    <dgm:fillClrLst meth="repeat">
      <a:schemeClr val="dk1"/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dk1"/>
    </dgm:fillClrLst>
    <dgm:linClrLst meth="repeat">
      <a:schemeClr val="dk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dk1"/>
    </dgm:fillClrLst>
    <dgm:linClrLst meth="repeat">
      <a:schemeClr val="dk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dk1">
        <a:alpha val="4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lt1">
        <a:alpha val="90000"/>
        <a:tint val="40000"/>
      </a:schemeClr>
    </dgm:fillClrLst>
    <dgm:linClrLst meth="repeat">
      <a:schemeClr val="dk1"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dk1">
        <a:alpha val="90000"/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dk1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dk1">
        <a:shade val="8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dk1">
        <a:tint val="50000"/>
        <a:alpha val="4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dk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27B2E82-1D22-4DC3-85D3-D0496FD8D376}" type="doc">
      <dgm:prSet loTypeId="urn:microsoft.com/office/officeart/2005/8/layout/lProcess2" loCatId="list" qsTypeId="urn:microsoft.com/office/officeart/2005/8/quickstyle/simple1" qsCatId="simple" csTypeId="urn:microsoft.com/office/officeart/2005/8/colors/accent0_1" csCatId="mainScheme" phldr="1"/>
      <dgm:spPr/>
      <dgm:t>
        <a:bodyPr/>
        <a:lstStyle/>
        <a:p>
          <a:endParaRPr lang="en-US"/>
        </a:p>
      </dgm:t>
    </dgm:pt>
    <dgm:pt modelId="{97F12533-5289-49B2-B773-6E9F84D467ED}">
      <dgm:prSet phldrT="[Text]"/>
      <dgm:spPr/>
      <dgm:t>
        <a:bodyPr/>
        <a:lstStyle/>
        <a:p>
          <a:r>
            <a:rPr lang="en-US"/>
            <a:t>Total Prep</a:t>
          </a:r>
        </a:p>
      </dgm:t>
    </dgm:pt>
    <dgm:pt modelId="{B1D2EC93-C13A-4916-A8A4-AFE52DFBEE58}" type="parTrans" cxnId="{686FEECA-B8FB-482E-83C4-1AB5B2A2CF6A}">
      <dgm:prSet/>
      <dgm:spPr/>
      <dgm:t>
        <a:bodyPr/>
        <a:lstStyle/>
        <a:p>
          <a:endParaRPr lang="en-US"/>
        </a:p>
      </dgm:t>
    </dgm:pt>
    <dgm:pt modelId="{02703F2F-68FF-4C31-B6EB-F41763045C37}" type="sibTrans" cxnId="{686FEECA-B8FB-482E-83C4-1AB5B2A2CF6A}">
      <dgm:prSet/>
      <dgm:spPr/>
      <dgm:t>
        <a:bodyPr/>
        <a:lstStyle/>
        <a:p>
          <a:endParaRPr lang="en-US"/>
        </a:p>
      </dgm:t>
    </dgm:pt>
    <dgm:pt modelId="{8042E567-39DD-4C7D-A7B9-F024B9591845}">
      <dgm:prSet phldrT="[Text]"/>
      <dgm:spPr/>
      <dgm:t>
        <a:bodyPr/>
        <a:lstStyle/>
        <a:p>
          <a:r>
            <a:rPr lang="en-US"/>
            <a:t>New Decking</a:t>
          </a:r>
        </a:p>
      </dgm:t>
    </dgm:pt>
    <dgm:pt modelId="{D4190642-84A5-4A9D-8CE6-63B2971F0F4B}" type="parTrans" cxnId="{AE92EF97-75A7-45A3-B2A0-9685B3021AE8}">
      <dgm:prSet/>
      <dgm:spPr/>
      <dgm:t>
        <a:bodyPr/>
        <a:lstStyle/>
        <a:p>
          <a:endParaRPr lang="en-US"/>
        </a:p>
      </dgm:t>
    </dgm:pt>
    <dgm:pt modelId="{3A649ED8-0B38-4DF8-A137-CDFB20B7A99A}" type="sibTrans" cxnId="{AE92EF97-75A7-45A3-B2A0-9685B3021AE8}">
      <dgm:prSet/>
      <dgm:spPr/>
      <dgm:t>
        <a:bodyPr/>
        <a:lstStyle/>
        <a:p>
          <a:endParaRPr lang="en-US"/>
        </a:p>
      </dgm:t>
    </dgm:pt>
    <dgm:pt modelId="{2B152F8F-4DAF-4366-B0D4-073994C7A2F8}">
      <dgm:prSet phldrT="[Text]"/>
      <dgm:spPr/>
      <dgm:t>
        <a:bodyPr/>
        <a:lstStyle/>
        <a:p>
          <a:r>
            <a:rPr lang="en-US"/>
            <a:t>Garden Work</a:t>
          </a:r>
        </a:p>
      </dgm:t>
    </dgm:pt>
    <dgm:pt modelId="{2142EB81-C3C1-47B4-AE87-E282A52D3588}" type="parTrans" cxnId="{08F08FBA-8B1C-4178-A8EA-D6C50B3415E4}">
      <dgm:prSet/>
      <dgm:spPr/>
      <dgm:t>
        <a:bodyPr/>
        <a:lstStyle/>
        <a:p>
          <a:endParaRPr lang="en-US"/>
        </a:p>
      </dgm:t>
    </dgm:pt>
    <dgm:pt modelId="{E0813949-F7CA-42F3-9D62-E085AD24577E}" type="sibTrans" cxnId="{08F08FBA-8B1C-4178-A8EA-D6C50B3415E4}">
      <dgm:prSet/>
      <dgm:spPr/>
      <dgm:t>
        <a:bodyPr/>
        <a:lstStyle/>
        <a:p>
          <a:endParaRPr lang="en-US"/>
        </a:p>
      </dgm:t>
    </dgm:pt>
    <dgm:pt modelId="{5F12B18F-8A09-4BC3-B5FE-7B9C65376849}">
      <dgm:prSet phldrT="[Text]"/>
      <dgm:spPr/>
      <dgm:t>
        <a:bodyPr/>
        <a:lstStyle/>
        <a:p>
          <a:r>
            <a:rPr lang="en-US"/>
            <a:t>Add Plants and Labour</a:t>
          </a:r>
        </a:p>
      </dgm:t>
    </dgm:pt>
    <dgm:pt modelId="{09602D97-B971-4EA1-AA4B-AB08E8C67FE3}" type="parTrans" cxnId="{F0CA9741-29DC-4C01-B716-CDF23B14CF97}">
      <dgm:prSet/>
      <dgm:spPr/>
      <dgm:t>
        <a:bodyPr/>
        <a:lstStyle/>
        <a:p>
          <a:endParaRPr lang="en-US"/>
        </a:p>
      </dgm:t>
    </dgm:pt>
    <dgm:pt modelId="{93E5C174-F727-4CE0-9D97-8CE63B327F7E}" type="sibTrans" cxnId="{F0CA9741-29DC-4C01-B716-CDF23B14CF97}">
      <dgm:prSet/>
      <dgm:spPr/>
      <dgm:t>
        <a:bodyPr/>
        <a:lstStyle/>
        <a:p>
          <a:endParaRPr lang="en-US"/>
        </a:p>
      </dgm:t>
    </dgm:pt>
    <dgm:pt modelId="{F815170E-A7AD-4490-84A3-EBF9933C0CC8}">
      <dgm:prSet phldrT="[Text]"/>
      <dgm:spPr/>
      <dgm:t>
        <a:bodyPr/>
        <a:lstStyle/>
        <a:p>
          <a:r>
            <a:rPr lang="en-US"/>
            <a:t>Add cost of excavation and skip</a:t>
          </a:r>
        </a:p>
      </dgm:t>
    </dgm:pt>
    <dgm:pt modelId="{E027E3F3-FF71-487B-AC0C-E5BD6AB46C00}" type="parTrans" cxnId="{0AAA0B10-AC66-48F8-B1E2-72B4A069F908}">
      <dgm:prSet/>
      <dgm:spPr/>
      <dgm:t>
        <a:bodyPr/>
        <a:lstStyle/>
        <a:p>
          <a:endParaRPr lang="en-US"/>
        </a:p>
      </dgm:t>
    </dgm:pt>
    <dgm:pt modelId="{2F2B4381-E393-41FB-B256-3996C3CB332F}" type="sibTrans" cxnId="{0AAA0B10-AC66-48F8-B1E2-72B4A069F908}">
      <dgm:prSet/>
      <dgm:spPr/>
      <dgm:t>
        <a:bodyPr/>
        <a:lstStyle/>
        <a:p>
          <a:endParaRPr lang="en-US"/>
        </a:p>
      </dgm:t>
    </dgm:pt>
    <dgm:pt modelId="{13CC7D5B-C506-48F8-B610-BDB39D43DBA4}">
      <dgm:prSet phldrT="[Text]"/>
      <dgm:spPr/>
      <dgm:t>
        <a:bodyPr/>
        <a:lstStyle/>
        <a:p>
          <a:r>
            <a:rPr lang="en-US"/>
            <a:t>Add Labour and Materials</a:t>
          </a:r>
        </a:p>
      </dgm:t>
    </dgm:pt>
    <dgm:pt modelId="{B845DD27-585F-408D-9889-A9E8C38AA716}" type="parTrans" cxnId="{0A2A3CC4-03BE-4001-8BA1-F445A704519D}">
      <dgm:prSet/>
      <dgm:spPr/>
      <dgm:t>
        <a:bodyPr/>
        <a:lstStyle/>
        <a:p>
          <a:endParaRPr lang="en-US"/>
        </a:p>
      </dgm:t>
    </dgm:pt>
    <dgm:pt modelId="{C2A65ED0-F040-4D6D-AFCF-9A9AA38AC8F6}" type="sibTrans" cxnId="{0A2A3CC4-03BE-4001-8BA1-F445A704519D}">
      <dgm:prSet/>
      <dgm:spPr/>
      <dgm:t>
        <a:bodyPr/>
        <a:lstStyle/>
        <a:p>
          <a:endParaRPr lang="en-US"/>
        </a:p>
      </dgm:t>
    </dgm:pt>
    <dgm:pt modelId="{F3A72388-01C1-4A95-9054-642EA9BE2E30}">
      <dgm:prSet phldrT="[Text]"/>
      <dgm:spPr/>
      <dgm:t>
        <a:bodyPr/>
        <a:lstStyle/>
        <a:p>
          <a:r>
            <a:rPr lang="en-US"/>
            <a:t>Sub Total</a:t>
          </a:r>
        </a:p>
      </dgm:t>
    </dgm:pt>
    <dgm:pt modelId="{82A9FB2D-8D08-48D9-B711-D4938DF1F44F}" type="parTrans" cxnId="{940B486E-07E3-419C-9505-DDD1B61B7A78}">
      <dgm:prSet/>
      <dgm:spPr/>
      <dgm:t>
        <a:bodyPr/>
        <a:lstStyle/>
        <a:p>
          <a:endParaRPr lang="en-US"/>
        </a:p>
      </dgm:t>
    </dgm:pt>
    <dgm:pt modelId="{35508BF1-54C2-487C-80C3-4687B4EF7E21}" type="sibTrans" cxnId="{940B486E-07E3-419C-9505-DDD1B61B7A78}">
      <dgm:prSet/>
      <dgm:spPr/>
      <dgm:t>
        <a:bodyPr/>
        <a:lstStyle/>
        <a:p>
          <a:endParaRPr lang="en-US"/>
        </a:p>
      </dgm:t>
    </dgm:pt>
    <dgm:pt modelId="{0CCE2759-83CA-4E4D-8A30-984B3C519CD4}">
      <dgm:prSet phldrT="[Text]"/>
      <dgm:spPr/>
      <dgm:t>
        <a:bodyPr/>
        <a:lstStyle/>
        <a:p>
          <a:r>
            <a:rPr lang="en-US"/>
            <a:t>Add total prep, decking and plants</a:t>
          </a:r>
        </a:p>
      </dgm:t>
    </dgm:pt>
    <dgm:pt modelId="{2976DE62-338E-4890-996A-A0B19D40216F}" type="parTrans" cxnId="{E3AB7DA7-523A-4D1A-96C1-8DA19FDEC1A6}">
      <dgm:prSet/>
      <dgm:spPr/>
      <dgm:t>
        <a:bodyPr/>
        <a:lstStyle/>
        <a:p>
          <a:endParaRPr lang="en-US"/>
        </a:p>
      </dgm:t>
    </dgm:pt>
    <dgm:pt modelId="{7A5AF970-55B6-47E6-B11C-DA03D076DE53}" type="sibTrans" cxnId="{E3AB7DA7-523A-4D1A-96C1-8DA19FDEC1A6}">
      <dgm:prSet/>
      <dgm:spPr/>
      <dgm:t>
        <a:bodyPr/>
        <a:lstStyle/>
        <a:p>
          <a:endParaRPr lang="en-US"/>
        </a:p>
      </dgm:t>
    </dgm:pt>
    <dgm:pt modelId="{3C2FA0BA-577F-4BA6-B901-9D6ED87897CD}">
      <dgm:prSet phldrT="[Text]"/>
      <dgm:spPr/>
      <dgm:t>
        <a:bodyPr/>
        <a:lstStyle/>
        <a:p>
          <a:r>
            <a:rPr lang="en-US"/>
            <a:t>Discount</a:t>
          </a:r>
        </a:p>
      </dgm:t>
    </dgm:pt>
    <dgm:pt modelId="{41B9D827-04ED-4C55-AF3F-12CDF7CC3665}" type="parTrans" cxnId="{26F400A6-2A3F-419F-ACC1-3C7EF42A29BB}">
      <dgm:prSet/>
      <dgm:spPr/>
      <dgm:t>
        <a:bodyPr/>
        <a:lstStyle/>
        <a:p>
          <a:endParaRPr lang="en-US"/>
        </a:p>
      </dgm:t>
    </dgm:pt>
    <dgm:pt modelId="{2F304FE7-D6F1-4B62-941D-996FAE99069A}" type="sibTrans" cxnId="{26F400A6-2A3F-419F-ACC1-3C7EF42A29BB}">
      <dgm:prSet/>
      <dgm:spPr/>
      <dgm:t>
        <a:bodyPr/>
        <a:lstStyle/>
        <a:p>
          <a:endParaRPr lang="en-US"/>
        </a:p>
      </dgm:t>
    </dgm:pt>
    <dgm:pt modelId="{17205080-984F-49E7-AFD7-A150E8A75C77}">
      <dgm:prSet phldrT="[Text]"/>
      <dgm:spPr/>
      <dgm:t>
        <a:bodyPr/>
        <a:lstStyle/>
        <a:p>
          <a:r>
            <a:rPr lang="en-US"/>
            <a:t>Total Estimate</a:t>
          </a:r>
        </a:p>
      </dgm:t>
    </dgm:pt>
    <dgm:pt modelId="{D2E9F17F-7E27-4A91-AB95-EF75E4058E97}" type="parTrans" cxnId="{3E3D0A2A-4FA9-4918-B446-BFAE375B43BF}">
      <dgm:prSet/>
      <dgm:spPr/>
      <dgm:t>
        <a:bodyPr/>
        <a:lstStyle/>
        <a:p>
          <a:endParaRPr lang="en-US"/>
        </a:p>
      </dgm:t>
    </dgm:pt>
    <dgm:pt modelId="{44C4C17E-D8AC-474B-805A-6AF35374502D}" type="sibTrans" cxnId="{3E3D0A2A-4FA9-4918-B446-BFAE375B43BF}">
      <dgm:prSet/>
      <dgm:spPr/>
      <dgm:t>
        <a:bodyPr/>
        <a:lstStyle/>
        <a:p>
          <a:endParaRPr lang="en-US"/>
        </a:p>
      </dgm:t>
    </dgm:pt>
    <dgm:pt modelId="{E01B25A4-C65B-426D-8B94-673AFEE0E7F8}">
      <dgm:prSet phldrT="[Text]"/>
      <dgm:spPr/>
      <dgm:t>
        <a:bodyPr/>
        <a:lstStyle/>
        <a:p>
          <a:r>
            <a:rPr lang="en-US"/>
            <a:t>Multiply Sub Total by 10%</a:t>
          </a:r>
        </a:p>
      </dgm:t>
    </dgm:pt>
    <dgm:pt modelId="{60992642-0E42-495F-B1FB-B5BEA2727DF8}" type="parTrans" cxnId="{2B4A6D8F-C31A-4066-97B8-21B7A5F571DE}">
      <dgm:prSet/>
      <dgm:spPr/>
      <dgm:t>
        <a:bodyPr/>
        <a:lstStyle/>
        <a:p>
          <a:endParaRPr lang="en-US"/>
        </a:p>
      </dgm:t>
    </dgm:pt>
    <dgm:pt modelId="{23FE59FE-7A47-43BC-A36A-F6E7E70A3D96}" type="sibTrans" cxnId="{2B4A6D8F-C31A-4066-97B8-21B7A5F571DE}">
      <dgm:prSet/>
      <dgm:spPr/>
      <dgm:t>
        <a:bodyPr/>
        <a:lstStyle/>
        <a:p>
          <a:endParaRPr lang="en-US"/>
        </a:p>
      </dgm:t>
    </dgm:pt>
    <dgm:pt modelId="{AE034520-71B5-48A0-9CDD-ED0CB7413EF6}">
      <dgm:prSet phldrT="[Text]"/>
      <dgm:spPr/>
      <dgm:t>
        <a:bodyPr/>
        <a:lstStyle/>
        <a:p>
          <a:r>
            <a:rPr lang="en-US"/>
            <a:t>Subtract Discount from Sub Total</a:t>
          </a:r>
        </a:p>
      </dgm:t>
    </dgm:pt>
    <dgm:pt modelId="{4F7569BD-17BA-4B5D-BE1B-881345101941}" type="parTrans" cxnId="{2ED8F319-639D-4099-9864-DF11AB2D7E20}">
      <dgm:prSet/>
      <dgm:spPr/>
      <dgm:t>
        <a:bodyPr/>
        <a:lstStyle/>
        <a:p>
          <a:endParaRPr lang="en-US"/>
        </a:p>
      </dgm:t>
    </dgm:pt>
    <dgm:pt modelId="{563029C1-F8D6-4484-AB20-F9F79129686A}" type="sibTrans" cxnId="{2ED8F319-639D-4099-9864-DF11AB2D7E20}">
      <dgm:prSet/>
      <dgm:spPr/>
      <dgm:t>
        <a:bodyPr/>
        <a:lstStyle/>
        <a:p>
          <a:endParaRPr lang="en-US"/>
        </a:p>
      </dgm:t>
    </dgm:pt>
    <dgm:pt modelId="{DD8DE39F-2195-468E-8D6B-D07B03FC01C5}" type="pres">
      <dgm:prSet presAssocID="{027B2E82-1D22-4DC3-85D3-D0496FD8D376}" presName="theList" presStyleCnt="0">
        <dgm:presLayoutVars>
          <dgm:dir/>
          <dgm:animLvl val="lvl"/>
          <dgm:resizeHandles val="exact"/>
        </dgm:presLayoutVars>
      </dgm:prSet>
      <dgm:spPr/>
    </dgm:pt>
    <dgm:pt modelId="{2920F00D-2054-4CF0-900E-0AEF30E8AF72}" type="pres">
      <dgm:prSet presAssocID="{97F12533-5289-49B2-B773-6E9F84D467ED}" presName="compNode" presStyleCnt="0"/>
      <dgm:spPr/>
    </dgm:pt>
    <dgm:pt modelId="{7369913B-3C58-4751-ABE9-A4EEF57A84E5}" type="pres">
      <dgm:prSet presAssocID="{97F12533-5289-49B2-B773-6E9F84D467ED}" presName="aNode" presStyleLbl="bgShp" presStyleIdx="0" presStyleCnt="6"/>
      <dgm:spPr/>
    </dgm:pt>
    <dgm:pt modelId="{32A01DE2-966E-4A30-86CF-D968B968C242}" type="pres">
      <dgm:prSet presAssocID="{97F12533-5289-49B2-B773-6E9F84D467ED}" presName="textNode" presStyleLbl="bgShp" presStyleIdx="0" presStyleCnt="6"/>
      <dgm:spPr/>
    </dgm:pt>
    <dgm:pt modelId="{1CD459B7-F5BC-467B-8B7B-2E745897535B}" type="pres">
      <dgm:prSet presAssocID="{97F12533-5289-49B2-B773-6E9F84D467ED}" presName="compChildNode" presStyleCnt="0"/>
      <dgm:spPr/>
    </dgm:pt>
    <dgm:pt modelId="{8CDA4E8A-207D-4BF6-BE14-7294424BACA0}" type="pres">
      <dgm:prSet presAssocID="{97F12533-5289-49B2-B773-6E9F84D467ED}" presName="theInnerList" presStyleCnt="0"/>
      <dgm:spPr/>
    </dgm:pt>
    <dgm:pt modelId="{0C6AE58D-D96D-4803-B7BE-888BD23D5BC7}" type="pres">
      <dgm:prSet presAssocID="{F815170E-A7AD-4490-84A3-EBF9933C0CC8}" presName="childNode" presStyleLbl="node1" presStyleIdx="0" presStyleCnt="6">
        <dgm:presLayoutVars>
          <dgm:bulletEnabled val="1"/>
        </dgm:presLayoutVars>
      </dgm:prSet>
      <dgm:spPr/>
    </dgm:pt>
    <dgm:pt modelId="{ACC7A15E-77D8-4AF6-A915-667951B376BE}" type="pres">
      <dgm:prSet presAssocID="{97F12533-5289-49B2-B773-6E9F84D467ED}" presName="aSpace" presStyleCnt="0"/>
      <dgm:spPr/>
    </dgm:pt>
    <dgm:pt modelId="{9DE0060A-47C1-43E8-BA29-F61B0277913C}" type="pres">
      <dgm:prSet presAssocID="{8042E567-39DD-4C7D-A7B9-F024B9591845}" presName="compNode" presStyleCnt="0"/>
      <dgm:spPr/>
    </dgm:pt>
    <dgm:pt modelId="{01930602-09ED-4E62-A923-54C8513517D2}" type="pres">
      <dgm:prSet presAssocID="{8042E567-39DD-4C7D-A7B9-F024B9591845}" presName="aNode" presStyleLbl="bgShp" presStyleIdx="1" presStyleCnt="6"/>
      <dgm:spPr/>
    </dgm:pt>
    <dgm:pt modelId="{34BFF6E8-0DCB-4F63-9941-C5B55A5A008C}" type="pres">
      <dgm:prSet presAssocID="{8042E567-39DD-4C7D-A7B9-F024B9591845}" presName="textNode" presStyleLbl="bgShp" presStyleIdx="1" presStyleCnt="6"/>
      <dgm:spPr/>
    </dgm:pt>
    <dgm:pt modelId="{26204B86-DA50-4688-9B51-2514632CC75C}" type="pres">
      <dgm:prSet presAssocID="{8042E567-39DD-4C7D-A7B9-F024B9591845}" presName="compChildNode" presStyleCnt="0"/>
      <dgm:spPr/>
    </dgm:pt>
    <dgm:pt modelId="{23BBDF73-248B-466A-B29B-6BEEDE084A64}" type="pres">
      <dgm:prSet presAssocID="{8042E567-39DD-4C7D-A7B9-F024B9591845}" presName="theInnerList" presStyleCnt="0"/>
      <dgm:spPr/>
    </dgm:pt>
    <dgm:pt modelId="{8217E7D4-70F2-4B63-9352-0F1406B93F3F}" type="pres">
      <dgm:prSet presAssocID="{13CC7D5B-C506-48F8-B610-BDB39D43DBA4}" presName="childNode" presStyleLbl="node1" presStyleIdx="1" presStyleCnt="6">
        <dgm:presLayoutVars>
          <dgm:bulletEnabled val="1"/>
        </dgm:presLayoutVars>
      </dgm:prSet>
      <dgm:spPr/>
    </dgm:pt>
    <dgm:pt modelId="{175847B5-E23B-4CD6-B57A-5BB5FE3E305A}" type="pres">
      <dgm:prSet presAssocID="{8042E567-39DD-4C7D-A7B9-F024B9591845}" presName="aSpace" presStyleCnt="0"/>
      <dgm:spPr/>
    </dgm:pt>
    <dgm:pt modelId="{512F8EFD-4D7F-4E92-85BD-75A493541044}" type="pres">
      <dgm:prSet presAssocID="{2B152F8F-4DAF-4366-B0D4-073994C7A2F8}" presName="compNode" presStyleCnt="0"/>
      <dgm:spPr/>
    </dgm:pt>
    <dgm:pt modelId="{2659D324-C34D-4297-B198-16C1608CB113}" type="pres">
      <dgm:prSet presAssocID="{2B152F8F-4DAF-4366-B0D4-073994C7A2F8}" presName="aNode" presStyleLbl="bgShp" presStyleIdx="2" presStyleCnt="6"/>
      <dgm:spPr/>
    </dgm:pt>
    <dgm:pt modelId="{66CA848B-1B4F-4C27-9B20-072A770920AF}" type="pres">
      <dgm:prSet presAssocID="{2B152F8F-4DAF-4366-B0D4-073994C7A2F8}" presName="textNode" presStyleLbl="bgShp" presStyleIdx="2" presStyleCnt="6"/>
      <dgm:spPr/>
    </dgm:pt>
    <dgm:pt modelId="{4D567C5A-AFBD-4A24-ADFA-CD8512E97C48}" type="pres">
      <dgm:prSet presAssocID="{2B152F8F-4DAF-4366-B0D4-073994C7A2F8}" presName="compChildNode" presStyleCnt="0"/>
      <dgm:spPr/>
    </dgm:pt>
    <dgm:pt modelId="{87E98A64-FD89-4185-A1DC-6810326E3A73}" type="pres">
      <dgm:prSet presAssocID="{2B152F8F-4DAF-4366-B0D4-073994C7A2F8}" presName="theInnerList" presStyleCnt="0"/>
      <dgm:spPr/>
    </dgm:pt>
    <dgm:pt modelId="{144F90BB-8DC3-4652-B2B8-49210DCBD1C2}" type="pres">
      <dgm:prSet presAssocID="{5F12B18F-8A09-4BC3-B5FE-7B9C65376849}" presName="childNode" presStyleLbl="node1" presStyleIdx="2" presStyleCnt="6">
        <dgm:presLayoutVars>
          <dgm:bulletEnabled val="1"/>
        </dgm:presLayoutVars>
      </dgm:prSet>
      <dgm:spPr/>
    </dgm:pt>
    <dgm:pt modelId="{3DC363F1-97E2-46B4-8D6A-B7872B02DEB4}" type="pres">
      <dgm:prSet presAssocID="{2B152F8F-4DAF-4366-B0D4-073994C7A2F8}" presName="aSpace" presStyleCnt="0"/>
      <dgm:spPr/>
    </dgm:pt>
    <dgm:pt modelId="{89EEDDCC-DC84-4A6A-9E5B-8107737EA652}" type="pres">
      <dgm:prSet presAssocID="{F3A72388-01C1-4A95-9054-642EA9BE2E30}" presName="compNode" presStyleCnt="0"/>
      <dgm:spPr/>
    </dgm:pt>
    <dgm:pt modelId="{977218E1-1886-40CF-A007-1266DB24C757}" type="pres">
      <dgm:prSet presAssocID="{F3A72388-01C1-4A95-9054-642EA9BE2E30}" presName="aNode" presStyleLbl="bgShp" presStyleIdx="3" presStyleCnt="6"/>
      <dgm:spPr/>
    </dgm:pt>
    <dgm:pt modelId="{9F09F2BF-3E81-4E51-A767-63C19CA79A0A}" type="pres">
      <dgm:prSet presAssocID="{F3A72388-01C1-4A95-9054-642EA9BE2E30}" presName="textNode" presStyleLbl="bgShp" presStyleIdx="3" presStyleCnt="6"/>
      <dgm:spPr/>
    </dgm:pt>
    <dgm:pt modelId="{0D8B7BFD-3399-4B23-B01E-85B3E607A01B}" type="pres">
      <dgm:prSet presAssocID="{F3A72388-01C1-4A95-9054-642EA9BE2E30}" presName="compChildNode" presStyleCnt="0"/>
      <dgm:spPr/>
    </dgm:pt>
    <dgm:pt modelId="{40C718C3-CABB-460E-9472-79179CD8AC62}" type="pres">
      <dgm:prSet presAssocID="{F3A72388-01C1-4A95-9054-642EA9BE2E30}" presName="theInnerList" presStyleCnt="0"/>
      <dgm:spPr/>
    </dgm:pt>
    <dgm:pt modelId="{9DBE0CF5-07E9-4567-9460-A4AD9DF0CCF8}" type="pres">
      <dgm:prSet presAssocID="{0CCE2759-83CA-4E4D-8A30-984B3C519CD4}" presName="childNode" presStyleLbl="node1" presStyleIdx="3" presStyleCnt="6">
        <dgm:presLayoutVars>
          <dgm:bulletEnabled val="1"/>
        </dgm:presLayoutVars>
      </dgm:prSet>
      <dgm:spPr/>
    </dgm:pt>
    <dgm:pt modelId="{6C645606-3E9A-48DF-8D9C-068760519BD4}" type="pres">
      <dgm:prSet presAssocID="{F3A72388-01C1-4A95-9054-642EA9BE2E30}" presName="aSpace" presStyleCnt="0"/>
      <dgm:spPr/>
    </dgm:pt>
    <dgm:pt modelId="{9575A531-FFA0-45EF-926E-EFA34B38CD6D}" type="pres">
      <dgm:prSet presAssocID="{3C2FA0BA-577F-4BA6-B901-9D6ED87897CD}" presName="compNode" presStyleCnt="0"/>
      <dgm:spPr/>
    </dgm:pt>
    <dgm:pt modelId="{5F9ABE60-78F0-4A4A-AEF1-F66EE2422007}" type="pres">
      <dgm:prSet presAssocID="{3C2FA0BA-577F-4BA6-B901-9D6ED87897CD}" presName="aNode" presStyleLbl="bgShp" presStyleIdx="4" presStyleCnt="6"/>
      <dgm:spPr/>
    </dgm:pt>
    <dgm:pt modelId="{9F0E046E-900F-49A7-9280-39887BE3B9F7}" type="pres">
      <dgm:prSet presAssocID="{3C2FA0BA-577F-4BA6-B901-9D6ED87897CD}" presName="textNode" presStyleLbl="bgShp" presStyleIdx="4" presStyleCnt="6"/>
      <dgm:spPr/>
    </dgm:pt>
    <dgm:pt modelId="{E1B83D03-51A8-433B-8068-53926E8C0AA5}" type="pres">
      <dgm:prSet presAssocID="{3C2FA0BA-577F-4BA6-B901-9D6ED87897CD}" presName="compChildNode" presStyleCnt="0"/>
      <dgm:spPr/>
    </dgm:pt>
    <dgm:pt modelId="{02ADB6A6-DEF1-48BA-B6C1-E7A734824412}" type="pres">
      <dgm:prSet presAssocID="{3C2FA0BA-577F-4BA6-B901-9D6ED87897CD}" presName="theInnerList" presStyleCnt="0"/>
      <dgm:spPr/>
    </dgm:pt>
    <dgm:pt modelId="{A2A0FCEA-8EDD-47D2-BE98-306262A73889}" type="pres">
      <dgm:prSet presAssocID="{E01B25A4-C65B-426D-8B94-673AFEE0E7F8}" presName="childNode" presStyleLbl="node1" presStyleIdx="4" presStyleCnt="6">
        <dgm:presLayoutVars>
          <dgm:bulletEnabled val="1"/>
        </dgm:presLayoutVars>
      </dgm:prSet>
      <dgm:spPr/>
    </dgm:pt>
    <dgm:pt modelId="{E1E41A2B-F85A-4C13-90C4-3A152BC9E1F3}" type="pres">
      <dgm:prSet presAssocID="{3C2FA0BA-577F-4BA6-B901-9D6ED87897CD}" presName="aSpace" presStyleCnt="0"/>
      <dgm:spPr/>
    </dgm:pt>
    <dgm:pt modelId="{0AF2ADE4-9EF3-4A5A-8C21-3E0E1438B66B}" type="pres">
      <dgm:prSet presAssocID="{17205080-984F-49E7-AFD7-A150E8A75C77}" presName="compNode" presStyleCnt="0"/>
      <dgm:spPr/>
    </dgm:pt>
    <dgm:pt modelId="{1FDD2167-7D79-41D3-BA4B-A012184BADDE}" type="pres">
      <dgm:prSet presAssocID="{17205080-984F-49E7-AFD7-A150E8A75C77}" presName="aNode" presStyleLbl="bgShp" presStyleIdx="5" presStyleCnt="6"/>
      <dgm:spPr/>
    </dgm:pt>
    <dgm:pt modelId="{D7306B94-821B-4012-9B0B-8BF15C746B18}" type="pres">
      <dgm:prSet presAssocID="{17205080-984F-49E7-AFD7-A150E8A75C77}" presName="textNode" presStyleLbl="bgShp" presStyleIdx="5" presStyleCnt="6"/>
      <dgm:spPr/>
    </dgm:pt>
    <dgm:pt modelId="{BF69A742-50B8-4DC2-BD81-A2E808F60C3C}" type="pres">
      <dgm:prSet presAssocID="{17205080-984F-49E7-AFD7-A150E8A75C77}" presName="compChildNode" presStyleCnt="0"/>
      <dgm:spPr/>
    </dgm:pt>
    <dgm:pt modelId="{B98C4AC5-6C2B-4F54-8C1C-6EF218A05C24}" type="pres">
      <dgm:prSet presAssocID="{17205080-984F-49E7-AFD7-A150E8A75C77}" presName="theInnerList" presStyleCnt="0"/>
      <dgm:spPr/>
    </dgm:pt>
    <dgm:pt modelId="{2EFAC1BA-7ABC-4C4A-8530-7D7AB162DF88}" type="pres">
      <dgm:prSet presAssocID="{AE034520-71B5-48A0-9CDD-ED0CB7413EF6}" presName="childNode" presStyleLbl="node1" presStyleIdx="5" presStyleCnt="6">
        <dgm:presLayoutVars>
          <dgm:bulletEnabled val="1"/>
        </dgm:presLayoutVars>
      </dgm:prSet>
      <dgm:spPr/>
    </dgm:pt>
  </dgm:ptLst>
  <dgm:cxnLst>
    <dgm:cxn modelId="{BBB88D0C-70BA-4407-B1EE-3B4D0C4B2141}" type="presOf" srcId="{2B152F8F-4DAF-4366-B0D4-073994C7A2F8}" destId="{2659D324-C34D-4297-B198-16C1608CB113}" srcOrd="0" destOrd="0" presId="urn:microsoft.com/office/officeart/2005/8/layout/lProcess2"/>
    <dgm:cxn modelId="{0AAA0B10-AC66-48F8-B1E2-72B4A069F908}" srcId="{97F12533-5289-49B2-B773-6E9F84D467ED}" destId="{F815170E-A7AD-4490-84A3-EBF9933C0CC8}" srcOrd="0" destOrd="0" parTransId="{E027E3F3-FF71-487B-AC0C-E5BD6AB46C00}" sibTransId="{2F2B4381-E393-41FB-B256-3996C3CB332F}"/>
    <dgm:cxn modelId="{2ED8F319-639D-4099-9864-DF11AB2D7E20}" srcId="{17205080-984F-49E7-AFD7-A150E8A75C77}" destId="{AE034520-71B5-48A0-9CDD-ED0CB7413EF6}" srcOrd="0" destOrd="0" parTransId="{4F7569BD-17BA-4B5D-BE1B-881345101941}" sibTransId="{563029C1-F8D6-4484-AB20-F9F79129686A}"/>
    <dgm:cxn modelId="{C10EB729-EDC3-47A9-8148-5E9FA4B8E6CA}" type="presOf" srcId="{5F12B18F-8A09-4BC3-B5FE-7B9C65376849}" destId="{144F90BB-8DC3-4652-B2B8-49210DCBD1C2}" srcOrd="0" destOrd="0" presId="urn:microsoft.com/office/officeart/2005/8/layout/lProcess2"/>
    <dgm:cxn modelId="{3E3D0A2A-4FA9-4918-B446-BFAE375B43BF}" srcId="{027B2E82-1D22-4DC3-85D3-D0496FD8D376}" destId="{17205080-984F-49E7-AFD7-A150E8A75C77}" srcOrd="5" destOrd="0" parTransId="{D2E9F17F-7E27-4A91-AB95-EF75E4058E97}" sibTransId="{44C4C17E-D8AC-474B-805A-6AF35374502D}"/>
    <dgm:cxn modelId="{F0CA9741-29DC-4C01-B716-CDF23B14CF97}" srcId="{2B152F8F-4DAF-4366-B0D4-073994C7A2F8}" destId="{5F12B18F-8A09-4BC3-B5FE-7B9C65376849}" srcOrd="0" destOrd="0" parTransId="{09602D97-B971-4EA1-AA4B-AB08E8C67FE3}" sibTransId="{93E5C174-F727-4CE0-9D97-8CE63B327F7E}"/>
    <dgm:cxn modelId="{13950669-3447-4ACA-9320-B7BE4788A357}" type="presOf" srcId="{97F12533-5289-49B2-B773-6E9F84D467ED}" destId="{7369913B-3C58-4751-ABE9-A4EEF57A84E5}" srcOrd="0" destOrd="0" presId="urn:microsoft.com/office/officeart/2005/8/layout/lProcess2"/>
    <dgm:cxn modelId="{940B486E-07E3-419C-9505-DDD1B61B7A78}" srcId="{027B2E82-1D22-4DC3-85D3-D0496FD8D376}" destId="{F3A72388-01C1-4A95-9054-642EA9BE2E30}" srcOrd="3" destOrd="0" parTransId="{82A9FB2D-8D08-48D9-B711-D4938DF1F44F}" sibTransId="{35508BF1-54C2-487C-80C3-4687B4EF7E21}"/>
    <dgm:cxn modelId="{18DA3779-C942-4A5D-A694-3B9628D12E40}" type="presOf" srcId="{F815170E-A7AD-4490-84A3-EBF9933C0CC8}" destId="{0C6AE58D-D96D-4803-B7BE-888BD23D5BC7}" srcOrd="0" destOrd="0" presId="urn:microsoft.com/office/officeart/2005/8/layout/lProcess2"/>
    <dgm:cxn modelId="{D5C28A7C-6088-4ED3-9398-07BC1E4400BB}" type="presOf" srcId="{17205080-984F-49E7-AFD7-A150E8A75C77}" destId="{1FDD2167-7D79-41D3-BA4B-A012184BADDE}" srcOrd="0" destOrd="0" presId="urn:microsoft.com/office/officeart/2005/8/layout/lProcess2"/>
    <dgm:cxn modelId="{61993E7F-A29B-422B-A5B6-8FB3679F9B65}" type="presOf" srcId="{3C2FA0BA-577F-4BA6-B901-9D6ED87897CD}" destId="{5F9ABE60-78F0-4A4A-AEF1-F66EE2422007}" srcOrd="0" destOrd="0" presId="urn:microsoft.com/office/officeart/2005/8/layout/lProcess2"/>
    <dgm:cxn modelId="{2B4A6D8F-C31A-4066-97B8-21B7A5F571DE}" srcId="{3C2FA0BA-577F-4BA6-B901-9D6ED87897CD}" destId="{E01B25A4-C65B-426D-8B94-673AFEE0E7F8}" srcOrd="0" destOrd="0" parTransId="{60992642-0E42-495F-B1FB-B5BEA2727DF8}" sibTransId="{23FE59FE-7A47-43BC-A36A-F6E7E70A3D96}"/>
    <dgm:cxn modelId="{AE92EF97-75A7-45A3-B2A0-9685B3021AE8}" srcId="{027B2E82-1D22-4DC3-85D3-D0496FD8D376}" destId="{8042E567-39DD-4C7D-A7B9-F024B9591845}" srcOrd="1" destOrd="0" parTransId="{D4190642-84A5-4A9D-8CE6-63B2971F0F4B}" sibTransId="{3A649ED8-0B38-4DF8-A137-CDFB20B7A99A}"/>
    <dgm:cxn modelId="{26F400A6-2A3F-419F-ACC1-3C7EF42A29BB}" srcId="{027B2E82-1D22-4DC3-85D3-D0496FD8D376}" destId="{3C2FA0BA-577F-4BA6-B901-9D6ED87897CD}" srcOrd="4" destOrd="0" parTransId="{41B9D827-04ED-4C55-AF3F-12CDF7CC3665}" sibTransId="{2F304FE7-D6F1-4B62-941D-996FAE99069A}"/>
    <dgm:cxn modelId="{E3AB7DA7-523A-4D1A-96C1-8DA19FDEC1A6}" srcId="{F3A72388-01C1-4A95-9054-642EA9BE2E30}" destId="{0CCE2759-83CA-4E4D-8A30-984B3C519CD4}" srcOrd="0" destOrd="0" parTransId="{2976DE62-338E-4890-996A-A0B19D40216F}" sibTransId="{7A5AF970-55B6-47E6-B11C-DA03D076DE53}"/>
    <dgm:cxn modelId="{3E5B5BA9-0218-440D-A7CC-C73914AB26F6}" type="presOf" srcId="{8042E567-39DD-4C7D-A7B9-F024B9591845}" destId="{34BFF6E8-0DCB-4F63-9941-C5B55A5A008C}" srcOrd="1" destOrd="0" presId="urn:microsoft.com/office/officeart/2005/8/layout/lProcess2"/>
    <dgm:cxn modelId="{D65434AC-F694-4B47-BA6B-2D67B1555CA6}" type="presOf" srcId="{027B2E82-1D22-4DC3-85D3-D0496FD8D376}" destId="{DD8DE39F-2195-468E-8D6B-D07B03FC01C5}" srcOrd="0" destOrd="0" presId="urn:microsoft.com/office/officeart/2005/8/layout/lProcess2"/>
    <dgm:cxn modelId="{08F08FBA-8B1C-4178-A8EA-D6C50B3415E4}" srcId="{027B2E82-1D22-4DC3-85D3-D0496FD8D376}" destId="{2B152F8F-4DAF-4366-B0D4-073994C7A2F8}" srcOrd="2" destOrd="0" parTransId="{2142EB81-C3C1-47B4-AE87-E282A52D3588}" sibTransId="{E0813949-F7CA-42F3-9D62-E085AD24577E}"/>
    <dgm:cxn modelId="{9689E1BA-F10E-411C-9694-E6F9CC4C5429}" type="presOf" srcId="{2B152F8F-4DAF-4366-B0D4-073994C7A2F8}" destId="{66CA848B-1B4F-4C27-9B20-072A770920AF}" srcOrd="1" destOrd="0" presId="urn:microsoft.com/office/officeart/2005/8/layout/lProcess2"/>
    <dgm:cxn modelId="{0A2A3CC4-03BE-4001-8BA1-F445A704519D}" srcId="{8042E567-39DD-4C7D-A7B9-F024B9591845}" destId="{13CC7D5B-C506-48F8-B610-BDB39D43DBA4}" srcOrd="0" destOrd="0" parTransId="{B845DD27-585F-408D-9889-A9E8C38AA716}" sibTransId="{C2A65ED0-F040-4D6D-AFCF-9A9AA38AC8F6}"/>
    <dgm:cxn modelId="{686FEECA-B8FB-482E-83C4-1AB5B2A2CF6A}" srcId="{027B2E82-1D22-4DC3-85D3-D0496FD8D376}" destId="{97F12533-5289-49B2-B773-6E9F84D467ED}" srcOrd="0" destOrd="0" parTransId="{B1D2EC93-C13A-4916-A8A4-AFE52DFBEE58}" sibTransId="{02703F2F-68FF-4C31-B6EB-F41763045C37}"/>
    <dgm:cxn modelId="{2CC497D1-A3FB-4801-AD67-5A01FC742AA8}" type="presOf" srcId="{E01B25A4-C65B-426D-8B94-673AFEE0E7F8}" destId="{A2A0FCEA-8EDD-47D2-BE98-306262A73889}" srcOrd="0" destOrd="0" presId="urn:microsoft.com/office/officeart/2005/8/layout/lProcess2"/>
    <dgm:cxn modelId="{30FA52D6-95C5-4253-9114-CD702D722E9F}" type="presOf" srcId="{AE034520-71B5-48A0-9CDD-ED0CB7413EF6}" destId="{2EFAC1BA-7ABC-4C4A-8530-7D7AB162DF88}" srcOrd="0" destOrd="0" presId="urn:microsoft.com/office/officeart/2005/8/layout/lProcess2"/>
    <dgm:cxn modelId="{FFF5B8D7-DEB4-4215-B2D5-29D174D244A7}" type="presOf" srcId="{F3A72388-01C1-4A95-9054-642EA9BE2E30}" destId="{9F09F2BF-3E81-4E51-A767-63C19CA79A0A}" srcOrd="1" destOrd="0" presId="urn:microsoft.com/office/officeart/2005/8/layout/lProcess2"/>
    <dgm:cxn modelId="{686017E4-34F6-4A50-920D-E58FF2860F2A}" type="presOf" srcId="{13CC7D5B-C506-48F8-B610-BDB39D43DBA4}" destId="{8217E7D4-70F2-4B63-9352-0F1406B93F3F}" srcOrd="0" destOrd="0" presId="urn:microsoft.com/office/officeart/2005/8/layout/lProcess2"/>
    <dgm:cxn modelId="{97E941E7-FCF4-405C-A5D6-504E32E40F13}" type="presOf" srcId="{0CCE2759-83CA-4E4D-8A30-984B3C519CD4}" destId="{9DBE0CF5-07E9-4567-9460-A4AD9DF0CCF8}" srcOrd="0" destOrd="0" presId="urn:microsoft.com/office/officeart/2005/8/layout/lProcess2"/>
    <dgm:cxn modelId="{CB017EE8-BE0A-419E-A0D0-3A4A0932A236}" type="presOf" srcId="{97F12533-5289-49B2-B773-6E9F84D467ED}" destId="{32A01DE2-966E-4A30-86CF-D968B968C242}" srcOrd="1" destOrd="0" presId="urn:microsoft.com/office/officeart/2005/8/layout/lProcess2"/>
    <dgm:cxn modelId="{C31102F0-D410-434C-99DE-EB0FAB5E7EA4}" type="presOf" srcId="{17205080-984F-49E7-AFD7-A150E8A75C77}" destId="{D7306B94-821B-4012-9B0B-8BF15C746B18}" srcOrd="1" destOrd="0" presId="urn:microsoft.com/office/officeart/2005/8/layout/lProcess2"/>
    <dgm:cxn modelId="{FF9E9FF2-78B8-4B3B-9CDD-3DECF82E43D4}" type="presOf" srcId="{8042E567-39DD-4C7D-A7B9-F024B9591845}" destId="{01930602-09ED-4E62-A923-54C8513517D2}" srcOrd="0" destOrd="0" presId="urn:microsoft.com/office/officeart/2005/8/layout/lProcess2"/>
    <dgm:cxn modelId="{D2E43CFF-ED9F-4C70-8823-1547F643E38D}" type="presOf" srcId="{F3A72388-01C1-4A95-9054-642EA9BE2E30}" destId="{977218E1-1886-40CF-A007-1266DB24C757}" srcOrd="0" destOrd="0" presId="urn:microsoft.com/office/officeart/2005/8/layout/lProcess2"/>
    <dgm:cxn modelId="{0439DBFF-140C-4B6C-8E85-A358A85962A4}" type="presOf" srcId="{3C2FA0BA-577F-4BA6-B901-9D6ED87897CD}" destId="{9F0E046E-900F-49A7-9280-39887BE3B9F7}" srcOrd="1" destOrd="0" presId="urn:microsoft.com/office/officeart/2005/8/layout/lProcess2"/>
    <dgm:cxn modelId="{3911BB19-9A56-4BA2-A31F-E340E7B63732}" type="presParOf" srcId="{DD8DE39F-2195-468E-8D6B-D07B03FC01C5}" destId="{2920F00D-2054-4CF0-900E-0AEF30E8AF72}" srcOrd="0" destOrd="0" presId="urn:microsoft.com/office/officeart/2005/8/layout/lProcess2"/>
    <dgm:cxn modelId="{B098ECF2-4A80-4F37-8190-3625FB98EA3C}" type="presParOf" srcId="{2920F00D-2054-4CF0-900E-0AEF30E8AF72}" destId="{7369913B-3C58-4751-ABE9-A4EEF57A84E5}" srcOrd="0" destOrd="0" presId="urn:microsoft.com/office/officeart/2005/8/layout/lProcess2"/>
    <dgm:cxn modelId="{3EC1BF4F-D500-497A-81A4-67F7840118FE}" type="presParOf" srcId="{2920F00D-2054-4CF0-900E-0AEF30E8AF72}" destId="{32A01DE2-966E-4A30-86CF-D968B968C242}" srcOrd="1" destOrd="0" presId="urn:microsoft.com/office/officeart/2005/8/layout/lProcess2"/>
    <dgm:cxn modelId="{111A254C-1CBE-4DAB-AAA0-F27FF3213474}" type="presParOf" srcId="{2920F00D-2054-4CF0-900E-0AEF30E8AF72}" destId="{1CD459B7-F5BC-467B-8B7B-2E745897535B}" srcOrd="2" destOrd="0" presId="urn:microsoft.com/office/officeart/2005/8/layout/lProcess2"/>
    <dgm:cxn modelId="{BD23D5BA-7D70-4008-8B71-6A1B570CB666}" type="presParOf" srcId="{1CD459B7-F5BC-467B-8B7B-2E745897535B}" destId="{8CDA4E8A-207D-4BF6-BE14-7294424BACA0}" srcOrd="0" destOrd="0" presId="urn:microsoft.com/office/officeart/2005/8/layout/lProcess2"/>
    <dgm:cxn modelId="{BEBEB971-5E0E-4CF5-A12D-87BC32178131}" type="presParOf" srcId="{8CDA4E8A-207D-4BF6-BE14-7294424BACA0}" destId="{0C6AE58D-D96D-4803-B7BE-888BD23D5BC7}" srcOrd="0" destOrd="0" presId="urn:microsoft.com/office/officeart/2005/8/layout/lProcess2"/>
    <dgm:cxn modelId="{6F1A2F73-C3A8-4EC3-A0B3-8A49E748A997}" type="presParOf" srcId="{DD8DE39F-2195-468E-8D6B-D07B03FC01C5}" destId="{ACC7A15E-77D8-4AF6-A915-667951B376BE}" srcOrd="1" destOrd="0" presId="urn:microsoft.com/office/officeart/2005/8/layout/lProcess2"/>
    <dgm:cxn modelId="{56BEE726-287F-4B45-8720-4C721E25186F}" type="presParOf" srcId="{DD8DE39F-2195-468E-8D6B-D07B03FC01C5}" destId="{9DE0060A-47C1-43E8-BA29-F61B0277913C}" srcOrd="2" destOrd="0" presId="urn:microsoft.com/office/officeart/2005/8/layout/lProcess2"/>
    <dgm:cxn modelId="{A80556F9-0E8B-4AC6-A5CC-C106882DB611}" type="presParOf" srcId="{9DE0060A-47C1-43E8-BA29-F61B0277913C}" destId="{01930602-09ED-4E62-A923-54C8513517D2}" srcOrd="0" destOrd="0" presId="urn:microsoft.com/office/officeart/2005/8/layout/lProcess2"/>
    <dgm:cxn modelId="{DB3CA08E-6E67-418B-96EE-0A4E067A668E}" type="presParOf" srcId="{9DE0060A-47C1-43E8-BA29-F61B0277913C}" destId="{34BFF6E8-0DCB-4F63-9941-C5B55A5A008C}" srcOrd="1" destOrd="0" presId="urn:microsoft.com/office/officeart/2005/8/layout/lProcess2"/>
    <dgm:cxn modelId="{7BB48E7C-851F-4FB7-BED9-C5A775720525}" type="presParOf" srcId="{9DE0060A-47C1-43E8-BA29-F61B0277913C}" destId="{26204B86-DA50-4688-9B51-2514632CC75C}" srcOrd="2" destOrd="0" presId="urn:microsoft.com/office/officeart/2005/8/layout/lProcess2"/>
    <dgm:cxn modelId="{9D9B76C2-C25A-4403-A601-BB9D1BE72DCD}" type="presParOf" srcId="{26204B86-DA50-4688-9B51-2514632CC75C}" destId="{23BBDF73-248B-466A-B29B-6BEEDE084A64}" srcOrd="0" destOrd="0" presId="urn:microsoft.com/office/officeart/2005/8/layout/lProcess2"/>
    <dgm:cxn modelId="{5D016D65-C690-4969-95C9-21B438F5AF9E}" type="presParOf" srcId="{23BBDF73-248B-466A-B29B-6BEEDE084A64}" destId="{8217E7D4-70F2-4B63-9352-0F1406B93F3F}" srcOrd="0" destOrd="0" presId="urn:microsoft.com/office/officeart/2005/8/layout/lProcess2"/>
    <dgm:cxn modelId="{A2F4EA6D-BD90-419F-89CE-FBBA61554616}" type="presParOf" srcId="{DD8DE39F-2195-468E-8D6B-D07B03FC01C5}" destId="{175847B5-E23B-4CD6-B57A-5BB5FE3E305A}" srcOrd="3" destOrd="0" presId="urn:microsoft.com/office/officeart/2005/8/layout/lProcess2"/>
    <dgm:cxn modelId="{11C5AA7A-DB41-4564-A9B7-378B64122194}" type="presParOf" srcId="{DD8DE39F-2195-468E-8D6B-D07B03FC01C5}" destId="{512F8EFD-4D7F-4E92-85BD-75A493541044}" srcOrd="4" destOrd="0" presId="urn:microsoft.com/office/officeart/2005/8/layout/lProcess2"/>
    <dgm:cxn modelId="{79483717-FADC-478B-9772-E4123DFFF6FD}" type="presParOf" srcId="{512F8EFD-4D7F-4E92-85BD-75A493541044}" destId="{2659D324-C34D-4297-B198-16C1608CB113}" srcOrd="0" destOrd="0" presId="urn:microsoft.com/office/officeart/2005/8/layout/lProcess2"/>
    <dgm:cxn modelId="{14C64680-F56D-4D47-BF27-7C0015F8FAF8}" type="presParOf" srcId="{512F8EFD-4D7F-4E92-85BD-75A493541044}" destId="{66CA848B-1B4F-4C27-9B20-072A770920AF}" srcOrd="1" destOrd="0" presId="urn:microsoft.com/office/officeart/2005/8/layout/lProcess2"/>
    <dgm:cxn modelId="{B24A42F1-BC28-4922-B637-77D9423F94A0}" type="presParOf" srcId="{512F8EFD-4D7F-4E92-85BD-75A493541044}" destId="{4D567C5A-AFBD-4A24-ADFA-CD8512E97C48}" srcOrd="2" destOrd="0" presId="urn:microsoft.com/office/officeart/2005/8/layout/lProcess2"/>
    <dgm:cxn modelId="{AD3501D1-4DF6-4828-88CE-D12DFDF52855}" type="presParOf" srcId="{4D567C5A-AFBD-4A24-ADFA-CD8512E97C48}" destId="{87E98A64-FD89-4185-A1DC-6810326E3A73}" srcOrd="0" destOrd="0" presId="urn:microsoft.com/office/officeart/2005/8/layout/lProcess2"/>
    <dgm:cxn modelId="{3D8681AF-0332-411D-BB0D-83515C39E024}" type="presParOf" srcId="{87E98A64-FD89-4185-A1DC-6810326E3A73}" destId="{144F90BB-8DC3-4652-B2B8-49210DCBD1C2}" srcOrd="0" destOrd="0" presId="urn:microsoft.com/office/officeart/2005/8/layout/lProcess2"/>
    <dgm:cxn modelId="{3CDE5FB0-67D6-4EF3-8E9E-5A8710B63DB6}" type="presParOf" srcId="{DD8DE39F-2195-468E-8D6B-D07B03FC01C5}" destId="{3DC363F1-97E2-46B4-8D6A-B7872B02DEB4}" srcOrd="5" destOrd="0" presId="urn:microsoft.com/office/officeart/2005/8/layout/lProcess2"/>
    <dgm:cxn modelId="{EA68EC12-9891-4410-8BE8-AB65BE6E8E32}" type="presParOf" srcId="{DD8DE39F-2195-468E-8D6B-D07B03FC01C5}" destId="{89EEDDCC-DC84-4A6A-9E5B-8107737EA652}" srcOrd="6" destOrd="0" presId="urn:microsoft.com/office/officeart/2005/8/layout/lProcess2"/>
    <dgm:cxn modelId="{B86B7643-15A3-4D8D-8DDF-63AB3D06934F}" type="presParOf" srcId="{89EEDDCC-DC84-4A6A-9E5B-8107737EA652}" destId="{977218E1-1886-40CF-A007-1266DB24C757}" srcOrd="0" destOrd="0" presId="urn:microsoft.com/office/officeart/2005/8/layout/lProcess2"/>
    <dgm:cxn modelId="{E2081C3D-0049-43E5-8C1F-5482E8734F0B}" type="presParOf" srcId="{89EEDDCC-DC84-4A6A-9E5B-8107737EA652}" destId="{9F09F2BF-3E81-4E51-A767-63C19CA79A0A}" srcOrd="1" destOrd="0" presId="urn:microsoft.com/office/officeart/2005/8/layout/lProcess2"/>
    <dgm:cxn modelId="{E03977E4-F346-47B4-BAA5-7C774E531B44}" type="presParOf" srcId="{89EEDDCC-DC84-4A6A-9E5B-8107737EA652}" destId="{0D8B7BFD-3399-4B23-B01E-85B3E607A01B}" srcOrd="2" destOrd="0" presId="urn:microsoft.com/office/officeart/2005/8/layout/lProcess2"/>
    <dgm:cxn modelId="{35716E4A-B98E-4539-994B-2641CE859E2B}" type="presParOf" srcId="{0D8B7BFD-3399-4B23-B01E-85B3E607A01B}" destId="{40C718C3-CABB-460E-9472-79179CD8AC62}" srcOrd="0" destOrd="0" presId="urn:microsoft.com/office/officeart/2005/8/layout/lProcess2"/>
    <dgm:cxn modelId="{B30F1CA0-D41C-4779-B734-C6872AC77750}" type="presParOf" srcId="{40C718C3-CABB-460E-9472-79179CD8AC62}" destId="{9DBE0CF5-07E9-4567-9460-A4AD9DF0CCF8}" srcOrd="0" destOrd="0" presId="urn:microsoft.com/office/officeart/2005/8/layout/lProcess2"/>
    <dgm:cxn modelId="{5F9B510B-5A9F-4AAA-A5A7-DA00F5C552B9}" type="presParOf" srcId="{DD8DE39F-2195-468E-8D6B-D07B03FC01C5}" destId="{6C645606-3E9A-48DF-8D9C-068760519BD4}" srcOrd="7" destOrd="0" presId="urn:microsoft.com/office/officeart/2005/8/layout/lProcess2"/>
    <dgm:cxn modelId="{C3DFED2F-B7D6-4C61-B452-A97EE5C12A5E}" type="presParOf" srcId="{DD8DE39F-2195-468E-8D6B-D07B03FC01C5}" destId="{9575A531-FFA0-45EF-926E-EFA34B38CD6D}" srcOrd="8" destOrd="0" presId="urn:microsoft.com/office/officeart/2005/8/layout/lProcess2"/>
    <dgm:cxn modelId="{2392E4DB-9687-4F98-9CA4-F3675FD1E9C3}" type="presParOf" srcId="{9575A531-FFA0-45EF-926E-EFA34B38CD6D}" destId="{5F9ABE60-78F0-4A4A-AEF1-F66EE2422007}" srcOrd="0" destOrd="0" presId="urn:microsoft.com/office/officeart/2005/8/layout/lProcess2"/>
    <dgm:cxn modelId="{822D3124-383B-464F-84AB-FE26D72400C3}" type="presParOf" srcId="{9575A531-FFA0-45EF-926E-EFA34B38CD6D}" destId="{9F0E046E-900F-49A7-9280-39887BE3B9F7}" srcOrd="1" destOrd="0" presId="urn:microsoft.com/office/officeart/2005/8/layout/lProcess2"/>
    <dgm:cxn modelId="{0081836C-8699-4C12-ABE4-FB894B57F589}" type="presParOf" srcId="{9575A531-FFA0-45EF-926E-EFA34B38CD6D}" destId="{E1B83D03-51A8-433B-8068-53926E8C0AA5}" srcOrd="2" destOrd="0" presId="urn:microsoft.com/office/officeart/2005/8/layout/lProcess2"/>
    <dgm:cxn modelId="{63B6ED6B-FAB2-46ED-A911-9413179B06AC}" type="presParOf" srcId="{E1B83D03-51A8-433B-8068-53926E8C0AA5}" destId="{02ADB6A6-DEF1-48BA-B6C1-E7A734824412}" srcOrd="0" destOrd="0" presId="urn:microsoft.com/office/officeart/2005/8/layout/lProcess2"/>
    <dgm:cxn modelId="{21060F52-D229-4821-982F-2B6EE1735851}" type="presParOf" srcId="{02ADB6A6-DEF1-48BA-B6C1-E7A734824412}" destId="{A2A0FCEA-8EDD-47D2-BE98-306262A73889}" srcOrd="0" destOrd="0" presId="urn:microsoft.com/office/officeart/2005/8/layout/lProcess2"/>
    <dgm:cxn modelId="{2FFF4067-FF4B-403C-A8C7-F9DC6976FB25}" type="presParOf" srcId="{DD8DE39F-2195-468E-8D6B-D07B03FC01C5}" destId="{E1E41A2B-F85A-4C13-90C4-3A152BC9E1F3}" srcOrd="9" destOrd="0" presId="urn:microsoft.com/office/officeart/2005/8/layout/lProcess2"/>
    <dgm:cxn modelId="{986D1054-73A9-43B2-84B0-FA5C79A1D1F0}" type="presParOf" srcId="{DD8DE39F-2195-468E-8D6B-D07B03FC01C5}" destId="{0AF2ADE4-9EF3-4A5A-8C21-3E0E1438B66B}" srcOrd="10" destOrd="0" presId="urn:microsoft.com/office/officeart/2005/8/layout/lProcess2"/>
    <dgm:cxn modelId="{68012603-B0FA-4915-82B6-B03358BAC8BF}" type="presParOf" srcId="{0AF2ADE4-9EF3-4A5A-8C21-3E0E1438B66B}" destId="{1FDD2167-7D79-41D3-BA4B-A012184BADDE}" srcOrd="0" destOrd="0" presId="urn:microsoft.com/office/officeart/2005/8/layout/lProcess2"/>
    <dgm:cxn modelId="{C0E1A1F4-7A8D-4537-82AE-14A57D747110}" type="presParOf" srcId="{0AF2ADE4-9EF3-4A5A-8C21-3E0E1438B66B}" destId="{D7306B94-821B-4012-9B0B-8BF15C746B18}" srcOrd="1" destOrd="0" presId="urn:microsoft.com/office/officeart/2005/8/layout/lProcess2"/>
    <dgm:cxn modelId="{DDB71C38-7069-4904-8563-75ABB8A09BB3}" type="presParOf" srcId="{0AF2ADE4-9EF3-4A5A-8C21-3E0E1438B66B}" destId="{BF69A742-50B8-4DC2-BD81-A2E808F60C3C}" srcOrd="2" destOrd="0" presId="urn:microsoft.com/office/officeart/2005/8/layout/lProcess2"/>
    <dgm:cxn modelId="{50D3F21B-C454-44F1-A351-23A233322F5D}" type="presParOf" srcId="{BF69A742-50B8-4DC2-BD81-A2E808F60C3C}" destId="{B98C4AC5-6C2B-4F54-8C1C-6EF218A05C24}" srcOrd="0" destOrd="0" presId="urn:microsoft.com/office/officeart/2005/8/layout/lProcess2"/>
    <dgm:cxn modelId="{9B51EE0F-9D2C-43BB-BE29-9FCCEDEBEE5A}" type="presParOf" srcId="{B98C4AC5-6C2B-4F54-8C1C-6EF218A05C24}" destId="{2EFAC1BA-7ABC-4C4A-8530-7D7AB162DF88}" srcOrd="0" destOrd="0" presId="urn:microsoft.com/office/officeart/2005/8/layout/lProcess2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7369913B-3C58-4751-ABE9-A4EEF57A84E5}">
      <dsp:nvSpPr>
        <dsp:cNvPr id="0" name=""/>
        <dsp:cNvSpPr/>
      </dsp:nvSpPr>
      <dsp:spPr>
        <a:xfrm>
          <a:off x="2161" y="0"/>
          <a:ext cx="854043" cy="98842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Total Prep</a:t>
          </a:r>
        </a:p>
      </dsp:txBody>
      <dsp:txXfrm>
        <a:off x="2161" y="0"/>
        <a:ext cx="854043" cy="296526"/>
      </dsp:txXfrm>
    </dsp:sp>
    <dsp:sp modelId="{0C6AE58D-D96D-4803-B7BE-888BD23D5BC7}">
      <dsp:nvSpPr>
        <dsp:cNvPr id="0" name=""/>
        <dsp:cNvSpPr/>
      </dsp:nvSpPr>
      <dsp:spPr>
        <a:xfrm>
          <a:off x="87566" y="296526"/>
          <a:ext cx="683234" cy="64247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17145" rIns="22860" bIns="1714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Add cost of excavation and skip</a:t>
          </a:r>
        </a:p>
      </dsp:txBody>
      <dsp:txXfrm>
        <a:off x="106383" y="315343"/>
        <a:ext cx="645600" cy="604840"/>
      </dsp:txXfrm>
    </dsp:sp>
    <dsp:sp modelId="{01930602-09ED-4E62-A923-54C8513517D2}">
      <dsp:nvSpPr>
        <dsp:cNvPr id="0" name=""/>
        <dsp:cNvSpPr/>
      </dsp:nvSpPr>
      <dsp:spPr>
        <a:xfrm>
          <a:off x="920258" y="0"/>
          <a:ext cx="854043" cy="98842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New Decking</a:t>
          </a:r>
        </a:p>
      </dsp:txBody>
      <dsp:txXfrm>
        <a:off x="920258" y="0"/>
        <a:ext cx="854043" cy="296526"/>
      </dsp:txXfrm>
    </dsp:sp>
    <dsp:sp modelId="{8217E7D4-70F2-4B63-9352-0F1406B93F3F}">
      <dsp:nvSpPr>
        <dsp:cNvPr id="0" name=""/>
        <dsp:cNvSpPr/>
      </dsp:nvSpPr>
      <dsp:spPr>
        <a:xfrm>
          <a:off x="1005662" y="296526"/>
          <a:ext cx="683234" cy="64247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17145" rIns="22860" bIns="1714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Add Labour and Materials</a:t>
          </a:r>
        </a:p>
      </dsp:txBody>
      <dsp:txXfrm>
        <a:off x="1024479" y="315343"/>
        <a:ext cx="645600" cy="604840"/>
      </dsp:txXfrm>
    </dsp:sp>
    <dsp:sp modelId="{2659D324-C34D-4297-B198-16C1608CB113}">
      <dsp:nvSpPr>
        <dsp:cNvPr id="0" name=""/>
        <dsp:cNvSpPr/>
      </dsp:nvSpPr>
      <dsp:spPr>
        <a:xfrm>
          <a:off x="1838354" y="0"/>
          <a:ext cx="854043" cy="98842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Garden Work</a:t>
          </a:r>
        </a:p>
      </dsp:txBody>
      <dsp:txXfrm>
        <a:off x="1838354" y="0"/>
        <a:ext cx="854043" cy="296526"/>
      </dsp:txXfrm>
    </dsp:sp>
    <dsp:sp modelId="{144F90BB-8DC3-4652-B2B8-49210DCBD1C2}">
      <dsp:nvSpPr>
        <dsp:cNvPr id="0" name=""/>
        <dsp:cNvSpPr/>
      </dsp:nvSpPr>
      <dsp:spPr>
        <a:xfrm>
          <a:off x="1923758" y="296526"/>
          <a:ext cx="683234" cy="64247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17145" rIns="22860" bIns="1714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Add Plants and Labour</a:t>
          </a:r>
        </a:p>
      </dsp:txBody>
      <dsp:txXfrm>
        <a:off x="1942575" y="315343"/>
        <a:ext cx="645600" cy="604840"/>
      </dsp:txXfrm>
    </dsp:sp>
    <dsp:sp modelId="{977218E1-1886-40CF-A007-1266DB24C757}">
      <dsp:nvSpPr>
        <dsp:cNvPr id="0" name=""/>
        <dsp:cNvSpPr/>
      </dsp:nvSpPr>
      <dsp:spPr>
        <a:xfrm>
          <a:off x="2756450" y="0"/>
          <a:ext cx="854043" cy="98842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Sub Total</a:t>
          </a:r>
        </a:p>
      </dsp:txBody>
      <dsp:txXfrm>
        <a:off x="2756450" y="0"/>
        <a:ext cx="854043" cy="296526"/>
      </dsp:txXfrm>
    </dsp:sp>
    <dsp:sp modelId="{9DBE0CF5-07E9-4567-9460-A4AD9DF0CCF8}">
      <dsp:nvSpPr>
        <dsp:cNvPr id="0" name=""/>
        <dsp:cNvSpPr/>
      </dsp:nvSpPr>
      <dsp:spPr>
        <a:xfrm>
          <a:off x="2841854" y="296526"/>
          <a:ext cx="683234" cy="64247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17145" rIns="22860" bIns="1714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Add total prep, decking and plants</a:t>
          </a:r>
        </a:p>
      </dsp:txBody>
      <dsp:txXfrm>
        <a:off x="2860671" y="315343"/>
        <a:ext cx="645600" cy="604840"/>
      </dsp:txXfrm>
    </dsp:sp>
    <dsp:sp modelId="{5F9ABE60-78F0-4A4A-AEF1-F66EE2422007}">
      <dsp:nvSpPr>
        <dsp:cNvPr id="0" name=""/>
        <dsp:cNvSpPr/>
      </dsp:nvSpPr>
      <dsp:spPr>
        <a:xfrm>
          <a:off x="3674546" y="0"/>
          <a:ext cx="854043" cy="98842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Discount</a:t>
          </a:r>
        </a:p>
      </dsp:txBody>
      <dsp:txXfrm>
        <a:off x="3674546" y="0"/>
        <a:ext cx="854043" cy="296526"/>
      </dsp:txXfrm>
    </dsp:sp>
    <dsp:sp modelId="{A2A0FCEA-8EDD-47D2-BE98-306262A73889}">
      <dsp:nvSpPr>
        <dsp:cNvPr id="0" name=""/>
        <dsp:cNvSpPr/>
      </dsp:nvSpPr>
      <dsp:spPr>
        <a:xfrm>
          <a:off x="3759951" y="296526"/>
          <a:ext cx="683234" cy="64247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17145" rIns="22860" bIns="1714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Multiply Sub Total by 10%</a:t>
          </a:r>
        </a:p>
      </dsp:txBody>
      <dsp:txXfrm>
        <a:off x="3778768" y="315343"/>
        <a:ext cx="645600" cy="604840"/>
      </dsp:txXfrm>
    </dsp:sp>
    <dsp:sp modelId="{1FDD2167-7D79-41D3-BA4B-A012184BADDE}">
      <dsp:nvSpPr>
        <dsp:cNvPr id="0" name=""/>
        <dsp:cNvSpPr/>
      </dsp:nvSpPr>
      <dsp:spPr>
        <a:xfrm>
          <a:off x="4592643" y="0"/>
          <a:ext cx="854043" cy="988423"/>
        </a:xfrm>
        <a:prstGeom prst="roundRect">
          <a:avLst>
            <a:gd name="adj" fmla="val 10000"/>
          </a:avLst>
        </a:prstGeom>
        <a:solidFill>
          <a:schemeClr val="dk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34290" tIns="34290" rIns="34290" bIns="34290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Total Estimate</a:t>
          </a:r>
        </a:p>
      </dsp:txBody>
      <dsp:txXfrm>
        <a:off x="4592643" y="0"/>
        <a:ext cx="854043" cy="296526"/>
      </dsp:txXfrm>
    </dsp:sp>
    <dsp:sp modelId="{2EFAC1BA-7ABC-4C4A-8530-7D7AB162DF88}">
      <dsp:nvSpPr>
        <dsp:cNvPr id="0" name=""/>
        <dsp:cNvSpPr/>
      </dsp:nvSpPr>
      <dsp:spPr>
        <a:xfrm>
          <a:off x="4678047" y="296526"/>
          <a:ext cx="683234" cy="642474"/>
        </a:xfrm>
        <a:prstGeom prst="roundRect">
          <a:avLst>
            <a:gd name="adj" fmla="val 10000"/>
          </a:avLst>
        </a:prstGeom>
        <a:solidFill>
          <a:schemeClr val="lt1">
            <a:hueOff val="0"/>
            <a:satOff val="0"/>
            <a:lumOff val="0"/>
            <a:alphaOff val="0"/>
          </a:schemeClr>
        </a:solidFill>
        <a:ln w="19050" cap="rnd" cmpd="sng" algn="ctr">
          <a:solidFill>
            <a:schemeClr val="dk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22860" tIns="17145" rIns="22860" bIns="17145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900" kern="1200"/>
            <a:t>Subtract Discount from Sub Total</a:t>
          </a:r>
        </a:p>
      </dsp:txBody>
      <dsp:txXfrm>
        <a:off x="4696864" y="315343"/>
        <a:ext cx="645600" cy="60484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Process2">
  <dgm:title val=""/>
  <dgm:desc val=""/>
  <dgm:catLst>
    <dgm:cat type="list" pri="10000"/>
    <dgm:cat type="relationship" pri="130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2">
          <dgm:prSet phldr="1"/>
        </dgm:pt>
        <dgm:pt modelId="21">
          <dgm:prSet phldr="1"/>
        </dgm:pt>
        <dgm:pt modelId="22">
          <dgm:prSet phldr="1"/>
        </dgm:pt>
        <dgm:pt modelId="3">
          <dgm:prSet phldr="1"/>
        </dgm:pt>
        <dgm:pt modelId="31">
          <dgm:prSet phldr="1"/>
        </dgm:pt>
        <dgm:pt modelId="32">
          <dgm:prSet phldr="1"/>
        </dgm:pt>
      </dgm:ptLst>
      <dgm:cxnLst>
        <dgm:cxn modelId="4" srcId="0" destId="1" srcOrd="0" destOrd="0"/>
        <dgm:cxn modelId="5" srcId="0" destId="2" srcOrd="1" destOrd="0"/>
        <dgm:cxn modelId="13" srcId="1" destId="11" srcOrd="0" destOrd="0"/>
        <dgm:cxn modelId="14" srcId="1" destId="12" srcOrd="0" destOrd="0"/>
        <dgm:cxn modelId="23" srcId="2" destId="21" srcOrd="0" destOrd="0"/>
        <dgm:cxn modelId="24" srcId="2" destId="22" srcOrd="0" destOrd="0"/>
        <dgm:cxn modelId="33" srcId="3" destId="31" srcOrd="0" destOrd="0"/>
        <dgm:cxn modelId="34" srcId="3" destId="32" srcOrd="0" destOrd="0"/>
      </dgm:cxnLst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theList">
    <dgm:varLst>
      <dgm:dir/>
      <dgm:animLvl val="lvl"/>
      <dgm:resizeHandles val="exact"/>
    </dgm:varLst>
    <dgm:choose name="Name0">
      <dgm:if name="Name1" func="var" arg="dir" op="equ" val="norm">
        <dgm:alg type="lin"/>
      </dgm:if>
      <dgm:else name="Name2">
        <dgm:alg type="lin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h" for="ch" forName="compNode" refType="h"/>
      <dgm:constr type="w" for="ch" forName="aSpace" refType="w" fact="0.075"/>
      <dgm:constr type="h" for="des" forName="aSpace2" refType="h" fact="0.1"/>
      <dgm:constr type="primFontSz" for="des" forName="textNode" op="equ"/>
      <dgm:constr type="primFontSz" for="des" forName="childNode" op="equ"/>
    </dgm:constrLst>
    <dgm:ruleLst/>
    <dgm:forEach name="aNodeForEach" axis="ch" ptType="node">
      <dgm:layoutNode name="compNode">
        <dgm:alg type="composite"/>
        <dgm:shape xmlns:r="http://schemas.openxmlformats.org/officeDocument/2006/relationships" r:blip="">
          <dgm:adjLst/>
        </dgm:shape>
        <dgm:presOf/>
        <dgm:constrLst>
          <dgm:constr type="w" for="ch" forName="aNode" refType="w"/>
          <dgm:constr type="h" for="ch" forName="aNode" refType="h"/>
          <dgm:constr type="w" for="ch" forName="textNode" refType="w"/>
          <dgm:constr type="h" for="ch" forName="textNode" refType="h" fact="0.3"/>
          <dgm:constr type="ctrX" for="ch" forName="textNode" refType="w" fact="0.5"/>
          <dgm:constr type="w" for="ch" forName="compChildNode" refType="w" fact="0.8"/>
          <dgm:constr type="h" for="ch" forName="compChildNode" refType="h" fact="0.65"/>
          <dgm:constr type="t" for="ch" forName="compChildNode" refType="h" fact="0.3"/>
          <dgm:constr type="ctrX" for="ch" forName="compChildNode" refType="w" fact="0.5"/>
        </dgm:constrLst>
        <dgm:ruleLst/>
        <dgm:layoutNode name="aNode" styleLbl="bgShp">
          <dgm:alg type="sp"/>
          <dgm:shape xmlns:r="http://schemas.openxmlformats.org/officeDocument/2006/relationships" type="roundRect" r:blip="">
            <dgm:adjLst>
              <dgm:adj idx="1" val="0.1"/>
            </dgm:adjLst>
          </dgm:shape>
          <dgm:presOf axis="self"/>
          <dgm:constrLst/>
          <dgm:ruleLst/>
        </dgm:layoutNode>
        <dgm:layoutNode name="textNode" styleLbl="bgShp">
          <dgm:alg type="tx"/>
          <dgm:shape xmlns:r="http://schemas.openxmlformats.org/officeDocument/2006/relationships" type="rect" r:blip="" hideGeom="1">
            <dgm:adjLst>
              <dgm:adj idx="1" val="0.1"/>
            </dgm:adjLst>
          </dgm:shape>
          <dgm:presOf axis="self"/>
          <dgm:constrLst>
            <dgm:constr type="primFontSz" val="65"/>
            <dgm:constr type="lMarg" refType="primFontSz" fact="0.3"/>
            <dgm:constr type="rMarg" refType="primFontSz" fact="0.3"/>
            <dgm:constr type="tMarg" refType="primFontSz" fact="0.3"/>
            <dgm:constr type="bMarg" refType="primFontSz" fact="0.3"/>
          </dgm:constrLst>
          <dgm:ruleLst>
            <dgm:rule type="primFontSz" val="5" fact="NaN" max="NaN"/>
          </dgm:ruleLst>
        </dgm:layoutNode>
        <dgm:layoutNode name="compChildNode">
          <dgm:alg type="composite"/>
          <dgm:shape xmlns:r="http://schemas.openxmlformats.org/officeDocument/2006/relationships" r:blip="">
            <dgm:adjLst/>
          </dgm:shape>
          <dgm:presOf/>
          <dgm:constrLst>
            <dgm:constr type="w" for="des" forName="childNode" refType="w"/>
            <dgm:constr type="h" for="des" forName="childNode" refType="h"/>
          </dgm:constrLst>
          <dgm:ruleLst/>
          <dgm:layoutNode name="theInnerList">
            <dgm:alg type="lin">
              <dgm:param type="linDir" val="fromT"/>
            </dgm:alg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childNodeForEach" axis="ch" ptType="node">
              <dgm:layoutNode name="childNode" styleLbl="node1">
                <dgm:varLst>
                  <dgm:bulletEnabled val="1"/>
                </dgm:varLst>
                <dgm:alg type="tx"/>
                <dgm:shape xmlns:r="http://schemas.openxmlformats.org/officeDocument/2006/relationships" type="roundRect" r:blip="">
                  <dgm:adjLst>
                    <dgm:adj idx="1" val="0.1"/>
                  </dgm:adjLst>
                </dgm:shape>
                <dgm:presOf axis="desOrSelf" ptType="node"/>
                <dgm:constrLst>
                  <dgm:constr type="primFontSz" val="65"/>
                  <dgm:constr type="tMarg" refType="primFontSz" fact="0.15"/>
                  <dgm:constr type="bMarg" refType="primFontSz" fact="0.15"/>
                  <dgm:constr type="lMarg" refType="primFontSz" fact="0.2"/>
                  <dgm:constr type="rMarg" refType="primFontSz" fact="0.2"/>
                </dgm:constrLst>
                <dgm:ruleLst>
                  <dgm:rule type="primFontSz" val="5" fact="NaN" max="NaN"/>
                </dgm:ruleLst>
              </dgm:layoutNode>
              <dgm:choose name="Name3">
                <dgm:if name="Name4" axis="self" ptType="node" func="revPos" op="equ" val="1"/>
                <dgm:else name="Name5">
                  <dgm:layoutNode name="aSpace2">
                    <dgm:alg type="sp"/>
                    <dgm:shape xmlns:r="http://schemas.openxmlformats.org/officeDocument/2006/relationships" r:blip="">
                      <dgm:adjLst/>
                    </dgm:shape>
                    <dgm:presOf/>
                    <dgm:constrLst/>
                    <dgm:ruleLst/>
                  </dgm:layoutNode>
                </dgm:else>
              </dgm:choose>
            </dgm:forEach>
          </dgm:layoutNode>
        </dgm:layoutNode>
      </dgm:layoutNode>
      <dgm:choose name="Name6">
        <dgm:if name="Name7" axis="self" ptType="node" func="revPos" op="equ" val="1"/>
        <dgm:else name="Name8">
          <dgm:layoutNode name="aSpace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else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25400</xdr:rowOff>
    </xdr:from>
    <xdr:to>
      <xdr:col>7</xdr:col>
      <xdr:colOff>108213</xdr:colOff>
      <xdr:row>5</xdr:row>
      <xdr:rowOff>319028</xdr:rowOff>
    </xdr:to>
    <xdr:pic>
      <xdr:nvPicPr>
        <xdr:cNvPr id="2" name="Picture 1" title="Macquarie University Logo">
          <a:extLst>
            <a:ext uri="{FF2B5EF4-FFF2-40B4-BE49-F238E27FC236}">
              <a16:creationId xmlns:a16="http://schemas.microsoft.com/office/drawing/2014/main" id="{03263811-35E2-4DF5-ADA3-AE92696239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86"/>
        <a:stretch/>
      </xdr:blipFill>
      <xdr:spPr>
        <a:xfrm>
          <a:off x="0" y="25400"/>
          <a:ext cx="4819913" cy="1665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78918</xdr:colOff>
      <xdr:row>23</xdr:row>
      <xdr:rowOff>168729</xdr:rowOff>
    </xdr:from>
    <xdr:to>
      <xdr:col>1</xdr:col>
      <xdr:colOff>1153886</xdr:colOff>
      <xdr:row>29</xdr:row>
      <xdr:rowOff>59872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1FF9FB5E-6A40-4237-AD85-FCCECFAC18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Facet">
  <a:themeElements>
    <a:clrScheme name="Facet">
      <a:dk1>
        <a:sysClr val="windowText" lastClr="000000"/>
      </a:dk1>
      <a:lt1>
        <a:sysClr val="window" lastClr="FFFFFF"/>
      </a:lt1>
      <a:dk2>
        <a:srgbClr val="2C3C43"/>
      </a:dk2>
      <a:lt2>
        <a:srgbClr val="EBEBEB"/>
      </a:lt2>
      <a:accent1>
        <a:srgbClr val="90C226"/>
      </a:accent1>
      <a:accent2>
        <a:srgbClr val="54A021"/>
      </a:accent2>
      <a:accent3>
        <a:srgbClr val="E6B91E"/>
      </a:accent3>
      <a:accent4>
        <a:srgbClr val="E76618"/>
      </a:accent4>
      <a:accent5>
        <a:srgbClr val="C42F1A"/>
      </a:accent5>
      <a:accent6>
        <a:srgbClr val="918655"/>
      </a:accent6>
      <a:hlink>
        <a:srgbClr val="99CA3C"/>
      </a:hlink>
      <a:folHlink>
        <a:srgbClr val="B9D181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27"/>
  <sheetViews>
    <sheetView tabSelected="1" workbookViewId="0">
      <selection activeCell="I6" sqref="I6:O6"/>
    </sheetView>
  </sheetViews>
  <sheetFormatPr defaultColWidth="8.77734375" defaultRowHeight="14.4"/>
  <cols>
    <col min="1" max="8" width="8.77734375" style="9"/>
    <col min="9" max="16" width="11" style="9" customWidth="1"/>
    <col min="17" max="16384" width="8.77734375" style="9"/>
  </cols>
  <sheetData>
    <row r="1" spans="1:16">
      <c r="H1" s="10"/>
    </row>
    <row r="2" spans="1:16" ht="34.799999999999997">
      <c r="H2" s="18" t="s">
        <v>14</v>
      </c>
      <c r="I2" s="19"/>
      <c r="J2" s="19"/>
      <c r="K2" s="19"/>
      <c r="L2" s="19"/>
      <c r="M2" s="19"/>
      <c r="N2" s="19"/>
      <c r="O2" s="19"/>
      <c r="P2" s="19"/>
    </row>
    <row r="3" spans="1:16">
      <c r="H3" s="10"/>
    </row>
    <row r="4" spans="1:16" ht="30">
      <c r="H4" s="20" t="s">
        <v>16</v>
      </c>
      <c r="I4" s="21"/>
      <c r="J4" s="21"/>
      <c r="K4" s="21"/>
      <c r="L4" s="21"/>
      <c r="M4" s="21"/>
      <c r="N4" s="21"/>
      <c r="O4" s="21"/>
      <c r="P4" s="21"/>
    </row>
    <row r="5" spans="1:16" ht="15" thickBot="1">
      <c r="H5" s="10"/>
    </row>
    <row r="6" spans="1:16" ht="31.8" thickBot="1">
      <c r="H6" s="10"/>
      <c r="I6" s="22" t="s">
        <v>19</v>
      </c>
      <c r="J6" s="23"/>
      <c r="K6" s="23"/>
      <c r="L6" s="23"/>
      <c r="M6" s="23"/>
      <c r="N6" s="23"/>
      <c r="O6" s="24"/>
      <c r="P6" s="11"/>
    </row>
    <row r="8" spans="1:16" ht="17.399999999999999">
      <c r="H8" s="12"/>
      <c r="I8" s="13"/>
    </row>
    <row r="9" spans="1:16" ht="17.399999999999999">
      <c r="A9" s="12"/>
      <c r="B9" s="12"/>
      <c r="C9" s="12"/>
      <c r="D9" s="12"/>
      <c r="E9" s="12"/>
      <c r="F9" s="12"/>
      <c r="G9" s="12"/>
      <c r="H9" s="14"/>
      <c r="I9" s="13"/>
    </row>
    <row r="10" spans="1:16" ht="18.600000000000001" thickBot="1">
      <c r="A10" s="14" t="s">
        <v>17</v>
      </c>
      <c r="B10" s="14"/>
      <c r="C10" s="14"/>
      <c r="D10" s="14"/>
      <c r="E10" s="14"/>
      <c r="F10" s="14"/>
      <c r="G10" s="14"/>
      <c r="H10" s="11"/>
      <c r="I10" s="13"/>
    </row>
    <row r="11" spans="1:16" ht="18" thickTop="1">
      <c r="A11" s="15"/>
      <c r="B11" s="15"/>
      <c r="C11" s="15"/>
      <c r="D11" s="15"/>
      <c r="E11" s="15"/>
      <c r="F11" s="15"/>
      <c r="G11" s="15"/>
      <c r="H11" s="15"/>
      <c r="I11" s="13"/>
    </row>
    <row r="12" spans="1:16" ht="76.95" customHeight="1">
      <c r="A12" s="25" t="s">
        <v>18</v>
      </c>
      <c r="B12" s="25"/>
      <c r="C12" s="25"/>
      <c r="D12" s="25"/>
      <c r="E12" s="25"/>
      <c r="F12" s="25"/>
      <c r="G12" s="25"/>
      <c r="H12" s="16"/>
      <c r="I12" s="13"/>
    </row>
    <row r="13" spans="1:16" ht="15" customHeight="1">
      <c r="A13" s="16"/>
      <c r="B13" s="16"/>
      <c r="C13" s="16"/>
      <c r="D13" s="16"/>
      <c r="E13" s="16"/>
      <c r="F13" s="16"/>
      <c r="G13" s="16"/>
      <c r="H13" s="16"/>
      <c r="I13" s="13"/>
    </row>
    <row r="14" spans="1:16" ht="17.399999999999999">
      <c r="A14" s="16"/>
      <c r="B14" s="16"/>
      <c r="C14" s="16"/>
      <c r="D14" s="16"/>
      <c r="E14" s="16"/>
      <c r="F14" s="16"/>
      <c r="G14" s="16"/>
      <c r="H14" s="14"/>
      <c r="I14" s="13"/>
    </row>
    <row r="15" spans="1:16" ht="18.600000000000001" thickBot="1">
      <c r="A15" s="14" t="s">
        <v>15</v>
      </c>
      <c r="B15" s="14"/>
      <c r="C15" s="14"/>
      <c r="D15" s="14"/>
      <c r="E15" s="14"/>
      <c r="F15" s="14"/>
      <c r="G15" s="14"/>
      <c r="H15" s="11"/>
      <c r="I15" s="13"/>
    </row>
    <row r="16" spans="1:16" ht="18" thickTop="1">
      <c r="A16" s="15"/>
      <c r="B16" s="15"/>
      <c r="C16" s="15"/>
      <c r="D16" s="15"/>
      <c r="E16" s="15"/>
      <c r="F16" s="15"/>
      <c r="G16" s="15"/>
      <c r="H16" s="15"/>
      <c r="I16" s="13"/>
      <c r="L16" s="17" t="s">
        <v>24</v>
      </c>
      <c r="M16" s="17" t="str">
        <f ca="1">TRIM(CLEAN(INFO("RELEASE")))</f>
        <v>16.0</v>
      </c>
    </row>
    <row r="17" spans="1:13" ht="17.399999999999999">
      <c r="A17" s="12" t="s">
        <v>20</v>
      </c>
      <c r="B17" s="12"/>
      <c r="C17" s="12"/>
      <c r="D17" s="12"/>
      <c r="E17" s="12"/>
      <c r="F17" s="12"/>
      <c r="G17" s="12"/>
      <c r="H17" s="12"/>
      <c r="I17" s="13"/>
      <c r="L17" s="17" t="s">
        <v>25</v>
      </c>
      <c r="M17" s="17" t="str">
        <f ca="1">LEFT(M16,FIND(".",M16)-1)</f>
        <v>16</v>
      </c>
    </row>
    <row r="18" spans="1:13" ht="17.399999999999999">
      <c r="A18" s="12" t="s">
        <v>21</v>
      </c>
      <c r="B18" s="12"/>
      <c r="C18" s="12"/>
      <c r="D18" s="12"/>
      <c r="E18" s="12"/>
      <c r="F18" s="12"/>
      <c r="G18" s="12"/>
      <c r="I18" s="13"/>
      <c r="L18" s="17" t="s">
        <v>26</v>
      </c>
      <c r="M18" s="17">
        <f ca="1">VALUE(M17)</f>
        <v>16</v>
      </c>
    </row>
    <row r="19" spans="1:13">
      <c r="I19" s="13"/>
    </row>
    <row r="20" spans="1:13">
      <c r="I20" s="13"/>
    </row>
    <row r="21" spans="1:13" ht="17.399999999999999">
      <c r="H21" s="12"/>
      <c r="I21" s="13"/>
    </row>
    <row r="22" spans="1:13" ht="17.399999999999999">
      <c r="A22" s="12"/>
      <c r="B22" s="12"/>
      <c r="C22" s="12"/>
      <c r="D22" s="12"/>
      <c r="E22" s="12"/>
      <c r="F22" s="12"/>
      <c r="G22" s="12"/>
      <c r="H22" s="12"/>
      <c r="I22" s="13"/>
    </row>
    <row r="23" spans="1:13" ht="17.399999999999999">
      <c r="A23" s="12"/>
      <c r="B23" s="12"/>
      <c r="C23" s="12"/>
      <c r="D23" s="12"/>
      <c r="E23" s="12"/>
      <c r="F23" s="12"/>
      <c r="G23" s="12"/>
      <c r="H23" s="12"/>
      <c r="I23" s="13"/>
    </row>
    <row r="24" spans="1:13" ht="17.399999999999999">
      <c r="A24" s="12"/>
      <c r="B24" s="12"/>
      <c r="C24" s="12"/>
      <c r="D24" s="12"/>
      <c r="E24" s="12"/>
      <c r="F24" s="12"/>
      <c r="G24" s="12"/>
      <c r="H24" s="12"/>
      <c r="I24" s="13"/>
    </row>
    <row r="25" spans="1:13" ht="17.399999999999999">
      <c r="A25" s="12"/>
      <c r="B25" s="12"/>
      <c r="C25" s="12"/>
      <c r="D25" s="12"/>
      <c r="E25" s="12"/>
      <c r="F25" s="12"/>
      <c r="G25" s="12"/>
      <c r="H25" s="13"/>
      <c r="I25" s="13"/>
    </row>
    <row r="26" spans="1:13">
      <c r="A26" s="13"/>
      <c r="B26" s="13"/>
      <c r="C26" s="13"/>
      <c r="D26" s="13"/>
      <c r="E26" s="13"/>
      <c r="F26" s="13"/>
      <c r="G26" s="13"/>
      <c r="H26" s="13"/>
    </row>
    <row r="27" spans="1:13">
      <c r="A27" s="13"/>
      <c r="B27" s="13"/>
      <c r="C27" s="13"/>
      <c r="D27" s="13"/>
      <c r="E27" s="13"/>
      <c r="F27" s="13"/>
      <c r="G27" s="13"/>
    </row>
  </sheetData>
  <mergeCells count="4">
    <mergeCell ref="H2:P2"/>
    <mergeCell ref="H4:P4"/>
    <mergeCell ref="I6:O6"/>
    <mergeCell ref="A12:G12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3"/>
  <sheetViews>
    <sheetView zoomScaleNormal="100" zoomScalePageLayoutView="130" workbookViewId="0"/>
  </sheetViews>
  <sheetFormatPr defaultColWidth="8.77734375" defaultRowHeight="14.4"/>
  <cols>
    <col min="1" max="1" width="64.44140625" customWidth="1"/>
    <col min="2" max="2" width="16.109375" customWidth="1"/>
    <col min="3" max="9" width="13.77734375" customWidth="1"/>
  </cols>
  <sheetData>
    <row r="1" spans="1:2" s="1" customFormat="1" ht="23.4">
      <c r="A1" s="3" t="s">
        <v>0</v>
      </c>
    </row>
    <row r="4" spans="1:2">
      <c r="A4" s="6" t="s">
        <v>1</v>
      </c>
      <c r="B4" s="6"/>
    </row>
    <row r="5" spans="1:2">
      <c r="A5" t="s">
        <v>23</v>
      </c>
      <c r="B5" s="2">
        <v>1200</v>
      </c>
    </row>
    <row r="6" spans="1:2">
      <c r="A6" t="s">
        <v>6</v>
      </c>
      <c r="B6" s="2">
        <v>100</v>
      </c>
    </row>
    <row r="7" spans="1:2">
      <c r="A7" s="4" t="s">
        <v>10</v>
      </c>
      <c r="B7" s="7"/>
    </row>
    <row r="8" spans="1:2">
      <c r="B8" s="2"/>
    </row>
    <row r="9" spans="1:2">
      <c r="A9" s="6" t="s">
        <v>2</v>
      </c>
      <c r="B9" s="8"/>
    </row>
    <row r="10" spans="1:2">
      <c r="A10" t="s">
        <v>7</v>
      </c>
      <c r="B10" s="2">
        <v>800</v>
      </c>
    </row>
    <row r="11" spans="1:2">
      <c r="A11" t="s">
        <v>8</v>
      </c>
      <c r="B11" s="2">
        <v>4850</v>
      </c>
    </row>
    <row r="12" spans="1:2">
      <c r="A12" s="4" t="s">
        <v>11</v>
      </c>
      <c r="B12" s="7"/>
    </row>
    <row r="13" spans="1:2">
      <c r="B13" s="2"/>
    </row>
    <row r="14" spans="1:2">
      <c r="A14" s="6" t="s">
        <v>3</v>
      </c>
      <c r="B14" s="8"/>
    </row>
    <row r="15" spans="1:2">
      <c r="A15" t="s">
        <v>9</v>
      </c>
      <c r="B15" s="2">
        <v>1200</v>
      </c>
    </row>
    <row r="16" spans="1:2">
      <c r="A16" t="s">
        <v>7</v>
      </c>
      <c r="B16" s="2">
        <v>200</v>
      </c>
    </row>
    <row r="17" spans="1:2">
      <c r="A17" s="4" t="s">
        <v>12</v>
      </c>
      <c r="B17" s="7"/>
    </row>
    <row r="18" spans="1:2">
      <c r="B18" s="2"/>
    </row>
    <row r="19" spans="1:2">
      <c r="A19" s="4" t="s">
        <v>13</v>
      </c>
      <c r="B19" s="7"/>
    </row>
    <row r="20" spans="1:2">
      <c r="A20" t="s">
        <v>4</v>
      </c>
      <c r="B20" s="2"/>
    </row>
    <row r="21" spans="1:2">
      <c r="A21" s="5" t="s">
        <v>5</v>
      </c>
      <c r="B21" s="7"/>
    </row>
    <row r="23" spans="1:2">
      <c r="A23" s="1" t="s">
        <v>22</v>
      </c>
    </row>
  </sheetData>
  <conditionalFormatting sqref="B7">
    <cfRule type="expression" dxfId="11" priority="1">
      <formula>AND(ExcelMajorVersion&lt;15,B7=B5+B6)</formula>
    </cfRule>
    <cfRule type="expression" dxfId="10" priority="2">
      <formula>AND(ExcelMajorVersion&gt;=15,_xlfn.ISFORMULA(B7),B7=B5+B6)</formula>
    </cfRule>
  </conditionalFormatting>
  <conditionalFormatting sqref="B12">
    <cfRule type="expression" dxfId="9" priority="3">
      <formula>AND(ExcelMajorVersion&lt;15,B12=B10+B11)</formula>
    </cfRule>
    <cfRule type="expression" dxfId="8" priority="4">
      <formula>AND(ExcelMajorVersion&gt;=15,_xlfn.ISFORMULA(B12),B12=B10+B11)</formula>
    </cfRule>
  </conditionalFormatting>
  <conditionalFormatting sqref="B17">
    <cfRule type="expression" dxfId="7" priority="5">
      <formula>AND(ExcelMajorVersion&lt;15,B17=B15+B16)</formula>
    </cfRule>
    <cfRule type="expression" dxfId="6" priority="6">
      <formula>AND(ExcelMajorVersion&gt;=15,_xlfn.ISFORMULA(B17),B17=B15+B16)</formula>
    </cfRule>
  </conditionalFormatting>
  <conditionalFormatting sqref="B19">
    <cfRule type="expression" dxfId="5" priority="7">
      <formula>AND(ExcelMajorVersion&lt;15,B19=B7+B12+B17)</formula>
    </cfRule>
    <cfRule type="expression" dxfId="4" priority="8">
      <formula>AND(ExcelMajorVersion&gt;=15,_xlfn.ISFORMULA(B19),B19=B7+B12+B17)</formula>
    </cfRule>
  </conditionalFormatting>
  <conditionalFormatting sqref="B20">
    <cfRule type="expression" dxfId="3" priority="9">
      <formula>AND(ExcelMajorVersion&lt;15,B20=B19*10%)</formula>
    </cfRule>
    <cfRule type="expression" dxfId="2" priority="10">
      <formula>AND(ExcelMajorVersion&gt;=15,_xlfn.ISFORMULA(B20),B20=B19*10%)</formula>
    </cfRule>
  </conditionalFormatting>
  <conditionalFormatting sqref="B21">
    <cfRule type="expression" dxfId="1" priority="11">
      <formula>AND(ExcelMajorVersion&lt;15,B21=B19-B20)</formula>
    </cfRule>
    <cfRule type="expression" dxfId="0" priority="12">
      <formula>AND(ExcelMajorVersion&gt;=15,_xlfn.ISFORMULA(B21),B21=B19-B20)</formula>
    </cfRule>
  </conditionalFormatting>
  <pageMargins left="0.7" right="0.7" top="0.75" bottom="0.75" header="0.3" footer="0.3"/>
  <pageSetup paperSize="9" orientation="portrait" horizontalDpi="75" verticalDpi="7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Title page</vt:lpstr>
      <vt:lpstr>Green Fingers - Quote</vt:lpstr>
      <vt:lpstr>ExcelMajorVersion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Harshil Chawla</cp:lastModifiedBy>
  <dcterms:created xsi:type="dcterms:W3CDTF">2017-05-26T01:31:29Z</dcterms:created>
  <dcterms:modified xsi:type="dcterms:W3CDTF">2026-01-26T12:52:31Z</dcterms:modified>
</cp:coreProperties>
</file>