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152C449A-7796-4F74-9901-F4D4A2E78163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Pay Details" sheetId="1" r:id="rId1"/>
    <sheet name="Branch Summary" sheetId="2" r:id="rId2"/>
  </sheets>
  <calcPr calcId="191029"/>
</workbook>
</file>

<file path=xl/calcChain.xml><?xml version="1.0" encoding="utf-8"?>
<calcChain xmlns="http://schemas.openxmlformats.org/spreadsheetml/2006/main">
  <c r="C7" i="2" l="1"/>
  <c r="C6" i="2"/>
  <c r="B7" i="2"/>
  <c r="B6" i="2"/>
  <c r="G18" i="1"/>
  <c r="H18" i="1"/>
  <c r="I18" i="1"/>
  <c r="J18" i="1"/>
  <c r="G17" i="1"/>
  <c r="H17" i="1"/>
  <c r="I17" i="1"/>
  <c r="J17" i="1"/>
  <c r="F18" i="1"/>
  <c r="F17" i="1"/>
  <c r="G16" i="1"/>
  <c r="H16" i="1"/>
  <c r="I16" i="1"/>
  <c r="J16" i="1"/>
  <c r="F16" i="1"/>
  <c r="H14" i="1"/>
  <c r="I14" i="1"/>
  <c r="J14" i="1"/>
  <c r="G14" i="1"/>
  <c r="F14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8" i="1"/>
  <c r="G9" i="1"/>
  <c r="G10" i="1"/>
  <c r="G11" i="1"/>
  <c r="G12" i="1"/>
  <c r="G7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<sst xmlns="http://schemas.openxmlformats.org/spreadsheetml/2006/main" count="49" uniqueCount="39">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</sst>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C12" sqref="C12"/>
    </sheetView>
  </sheetViews>
  <sheetFormatPr defaultRowHeight="18" x14ac:dyDescent="0.5"/>
  <cols>
    <col min="1" max="1" width="15.21875" customWidth="1"/>
    <col min="2" max="2" width="14.109375" bestFit="1" customWidth="1"/>
    <col min="3" max="3" width="11.77734375" customWidth="1"/>
    <col min="5" max="5" width="10.5546875" bestFit="1" customWidth="1"/>
    <col min="6" max="10" width="17" customWidth="1"/>
  </cols>
  <sheetData>
    <row r="1" spans="1:10" ht="40.799999999999997" x14ac:dyDescent="0.9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6" x14ac:dyDescent="0.55000000000000004">
      <c r="A2" s="1" t="s">
        <v>0</v>
      </c>
    </row>
    <row r="3" spans="1:10" x14ac:dyDescent="0.5">
      <c r="A3" t="s">
        <v>30</v>
      </c>
      <c r="B3" t="s">
        <v>29</v>
      </c>
      <c r="I3" t="s">
        <v>27</v>
      </c>
      <c r="J3" s="5">
        <v>0.04</v>
      </c>
    </row>
    <row r="4" spans="1:10" x14ac:dyDescent="0.5">
      <c r="A4" t="s">
        <v>31</v>
      </c>
      <c r="B4" t="s">
        <v>32</v>
      </c>
      <c r="I4" t="s">
        <v>28</v>
      </c>
      <c r="J4" s="5">
        <v>0.28000000000000003</v>
      </c>
    </row>
    <row r="6" spans="1:10" ht="18.600000000000001" thickBot="1" x14ac:dyDescent="0.55000000000000004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F7*$J$3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x14ac:dyDescent="0.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 t="shared" ref="G8:G13" si="1">F8*$J$3</f>
        <v>15.744</v>
      </c>
      <c r="H8" s="9">
        <f t="shared" ref="H8:H13" si="2">F8+G8</f>
        <v>409.34399999999994</v>
      </c>
      <c r="I8" s="9">
        <f t="shared" ref="I8:I13" si="3">H8*$J$4</f>
        <v>114.61631999999999</v>
      </c>
      <c r="J8" s="9">
        <f t="shared" ref="J8:J13" si="4">H8-I8</f>
        <v>294.72767999999996</v>
      </c>
    </row>
    <row r="9" spans="1:10" x14ac:dyDescent="0.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 t="shared" si="0"/>
        <v>1083</v>
      </c>
      <c r="G9" s="9">
        <f t="shared" si="1"/>
        <v>43.32</v>
      </c>
      <c r="H9" s="9">
        <f t="shared" si="2"/>
        <v>1126.32</v>
      </c>
      <c r="I9" s="9">
        <f t="shared" si="3"/>
        <v>315.36959999999999</v>
      </c>
      <c r="J9" s="9">
        <f t="shared" si="4"/>
        <v>810.95039999999995</v>
      </c>
    </row>
    <row r="10" spans="1:10" x14ac:dyDescent="0.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 t="shared" si="1"/>
        <v>41.12</v>
      </c>
      <c r="H10" s="9">
        <f t="shared" si="2"/>
        <v>1069.1199999999999</v>
      </c>
      <c r="I10" s="9">
        <f t="shared" si="3"/>
        <v>299.35359999999997</v>
      </c>
      <c r="J10" s="9">
        <f t="shared" si="4"/>
        <v>769.76639999999998</v>
      </c>
    </row>
    <row r="11" spans="1:10" x14ac:dyDescent="0.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 t="shared" si="1"/>
        <v>47.36</v>
      </c>
      <c r="H11" s="9">
        <f t="shared" si="2"/>
        <v>1231.3599999999999</v>
      </c>
      <c r="I11" s="9">
        <f t="shared" si="3"/>
        <v>344.7808</v>
      </c>
      <c r="J11" s="9">
        <f t="shared" si="4"/>
        <v>886.5791999999999</v>
      </c>
    </row>
    <row r="12" spans="1:10" x14ac:dyDescent="0.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 t="shared" si="1"/>
        <v>39.9</v>
      </c>
      <c r="H12" s="9">
        <f t="shared" si="2"/>
        <v>1037.4000000000001</v>
      </c>
      <c r="I12" s="9">
        <f t="shared" si="3"/>
        <v>290.47200000000004</v>
      </c>
      <c r="J12" s="9">
        <f t="shared" si="4"/>
        <v>746.92800000000011</v>
      </c>
    </row>
    <row r="14" spans="1:10" ht="18.600000000000001" thickBot="1" x14ac:dyDescent="0.55000000000000004">
      <c r="E14" s="6" t="s">
        <v>12</v>
      </c>
      <c r="F14" s="10">
        <f>SUM(F7:F12)</f>
        <v>5152.3</v>
      </c>
      <c r="G14" s="10">
        <f>SUM(G7:G12)</f>
        <v>206.09200000000001</v>
      </c>
      <c r="H14" s="10">
        <f t="shared" ref="H14:J14" si="5">SUM(H7:H12)</f>
        <v>5358.3919999999998</v>
      </c>
      <c r="I14" s="10">
        <f t="shared" si="5"/>
        <v>1500.3497599999998</v>
      </c>
      <c r="J14" s="10">
        <f t="shared" si="5"/>
        <v>3858.0422399999998</v>
      </c>
    </row>
    <row r="15" spans="1:10" ht="18.600000000000001" thickTop="1" x14ac:dyDescent="0.5">
      <c r="F15" s="9"/>
      <c r="G15" s="4"/>
      <c r="H15" s="9"/>
      <c r="I15" s="4"/>
      <c r="J15" s="4"/>
    </row>
    <row r="16" spans="1:10" x14ac:dyDescent="0.5">
      <c r="E16" s="2" t="s">
        <v>13</v>
      </c>
      <c r="F16" s="9">
        <f>AVERAGE(F7:F12)</f>
        <v>858.7166666666667</v>
      </c>
      <c r="G16" s="9">
        <f>AVERAGE(G7:G12)</f>
        <v>34.348666666666666</v>
      </c>
      <c r="H16" s="9">
        <f t="shared" ref="G16:J16" si="6">AVERAGE(H7:H12)</f>
        <v>893.06533333333334</v>
      </c>
      <c r="I16" s="9">
        <f t="shared" si="6"/>
        <v>250.0582933333333</v>
      </c>
      <c r="J16" s="9">
        <f t="shared" si="6"/>
        <v>643.00703999999996</v>
      </c>
    </row>
    <row r="17" spans="5:10" x14ac:dyDescent="0.5">
      <c r="E17" s="2" t="s">
        <v>14</v>
      </c>
      <c r="F17" s="9">
        <f>MAX(F7:F12)</f>
        <v>1184</v>
      </c>
      <c r="G17" s="9">
        <f t="shared" ref="G17:J17" si="7">MAX(G7:G12)</f>
        <v>47.36</v>
      </c>
      <c r="H17" s="9">
        <f t="shared" si="7"/>
        <v>1231.3599999999999</v>
      </c>
      <c r="I17" s="9">
        <f t="shared" si="7"/>
        <v>344.7808</v>
      </c>
      <c r="J17" s="9">
        <f t="shared" si="7"/>
        <v>886.5791999999999</v>
      </c>
    </row>
    <row r="18" spans="5:10" x14ac:dyDescent="0.5">
      <c r="E18" s="2" t="s">
        <v>15</v>
      </c>
      <c r="F18" s="9">
        <f>MIN(F7:F12)</f>
        <v>393.59999999999997</v>
      </c>
      <c r="G18" s="9">
        <f t="shared" ref="G18:J18" si="8">MIN(G7:G12)</f>
        <v>15.744</v>
      </c>
      <c r="H18" s="9">
        <f t="shared" si="8"/>
        <v>409.34399999999994</v>
      </c>
      <c r="I18" s="9">
        <f t="shared" si="8"/>
        <v>114.61631999999999</v>
      </c>
      <c r="J18" s="9">
        <f t="shared" si="8"/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7" sqref="C7"/>
    </sheetView>
  </sheetViews>
  <sheetFormatPr defaultRowHeight="18" x14ac:dyDescent="0.5"/>
  <cols>
    <col min="1" max="3" width="28.109375" customWidth="1"/>
  </cols>
  <sheetData>
    <row r="1" spans="1:3" ht="40.799999999999997" x14ac:dyDescent="0.95">
      <c r="A1" s="11" t="s">
        <v>16</v>
      </c>
      <c r="B1" s="11"/>
      <c r="C1" s="11"/>
    </row>
    <row r="2" spans="1:3" ht="21.6" x14ac:dyDescent="0.55000000000000004">
      <c r="A2" s="1" t="s">
        <v>37</v>
      </c>
    </row>
    <row r="3" spans="1:3" x14ac:dyDescent="0.5">
      <c r="A3" t="s">
        <v>30</v>
      </c>
      <c r="B3" t="s">
        <v>29</v>
      </c>
    </row>
    <row r="5" spans="1:3" ht="18.600000000000001" thickBot="1" x14ac:dyDescent="0.55000000000000004">
      <c r="A5" s="7" t="s">
        <v>33</v>
      </c>
      <c r="B5" s="8" t="s">
        <v>36</v>
      </c>
      <c r="C5" s="8" t="s">
        <v>38</v>
      </c>
    </row>
    <row r="6" spans="1:3" x14ac:dyDescent="0.5">
      <c r="A6" t="s">
        <v>34</v>
      </c>
      <c r="B6" s="3">
        <f>SUM('Pay Details'!G7:G9)</f>
        <v>77.711999999999989</v>
      </c>
      <c r="C6" s="3">
        <f>SUM('Pay Details'!H7:H9)</f>
        <v>2020.5119999999999</v>
      </c>
    </row>
    <row r="7" spans="1:3" x14ac:dyDescent="0.5">
      <c r="A7" t="s">
        <v>35</v>
      </c>
      <c r="B7" s="3">
        <f>SUM('Pay Details'!G10:G12)</f>
        <v>128.38</v>
      </c>
      <c r="C7" s="3">
        <f>SUM('Pay Details'!H10:H12)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Harshil Chawla</cp:lastModifiedBy>
  <dcterms:created xsi:type="dcterms:W3CDTF">2007-11-27T02:21:41Z</dcterms:created>
  <dcterms:modified xsi:type="dcterms:W3CDTF">2026-01-26T12:44:46Z</dcterms:modified>
</cp:coreProperties>
</file>